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Downloads\Project 4\"/>
    </mc:Choice>
  </mc:AlternateContent>
  <xr:revisionPtr revIDLastSave="0" documentId="8_{47390EF6-A99B-4C8D-8434-286F9578E0AA}" xr6:coauthVersionLast="47" xr6:coauthVersionMax="47" xr10:uidLastSave="{00000000-0000-0000-0000-000000000000}"/>
  <bookViews>
    <workbookView xWindow="-120" yWindow="-120" windowWidth="29040" windowHeight="15720" firstSheet="2" activeTab="5" xr2:uid="{006B7D6C-4FAB-4EFD-90DB-E3B63F0CE5FE}"/>
  </bookViews>
  <sheets>
    <sheet name="wc_2026_fixtures" sheetId="2" r:id="rId1"/>
    <sheet name="wc_2026_teams" sheetId="3" r:id="rId2"/>
    <sheet name="wc_all_editions" sheetId="4" r:id="rId3"/>
    <sheet name="Pivot- Total Goals and matches" sheetId="7" r:id="rId4"/>
    <sheet name="wc_all_matches" sheetId="5" r:id="rId5"/>
    <sheet name="Pivot - Top scorer goals" sheetId="8" r:id="rId6"/>
    <sheet name="wc_top_scorers" sheetId="6" r:id="rId7"/>
  </sheets>
  <definedNames>
    <definedName name="ExternalData_1" localSheetId="0" hidden="1">wc_2026_fixtures!$A$1:$O$105</definedName>
    <definedName name="ExternalData_1" localSheetId="1" hidden="1">wc_2026_teams!$A$1:$G$49</definedName>
    <definedName name="ExternalData_1" localSheetId="2" hidden="1">wc_all_editions!$A$1:$T$23</definedName>
    <definedName name="ExternalData_1" localSheetId="4" hidden="1">wc_all_matches!$A$1:$L$185</definedName>
    <definedName name="ExternalData_1" localSheetId="6" hidden="1">wc_top_scorers!$A$1:$K$23</definedName>
  </definedNames>
  <calcPr calcId="191029"/>
  <pivotCaches>
    <pivotCache cacheId="4" r:id="rId8"/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A9752-8D18-42A7-807E-B0A7C027470F}" keepAlive="1" name="Query - wc_2026_fixtures" description="Connection to the 'wc_2026_fixtures' query in the workbook." type="5" refreshedVersion="8" background="1" saveData="1">
    <dbPr connection="Provider=Microsoft.Mashup.OleDb.1;Data Source=$Workbook$;Location=wc_2026_fixtures;Extended Properties=&quot;&quot;" command="SELECT * FROM [wc_2026_fixtures]"/>
  </connection>
  <connection id="2" xr16:uid="{A6AD5A21-1F97-49F2-ACCA-1FA4171356E7}" keepAlive="1" name="Query - wc_2026_teams" description="Connection to the 'wc_2026_teams' query in the workbook." type="5" refreshedVersion="8" background="1" saveData="1">
    <dbPr connection="Provider=Microsoft.Mashup.OleDb.1;Data Source=$Workbook$;Location=wc_2026_teams;Extended Properties=&quot;&quot;" command="SELECT * FROM [wc_2026_teams]"/>
  </connection>
  <connection id="3" xr16:uid="{3C1B4703-630A-48C8-9EDE-445B17C9930D}" keepAlive="1" name="Query - wc_all_editions" description="Connection to the 'wc_all_editions' query in the workbook." type="5" refreshedVersion="8" background="1" saveData="1">
    <dbPr connection="Provider=Microsoft.Mashup.OleDb.1;Data Source=$Workbook$;Location=wc_all_editions;Extended Properties=&quot;&quot;" command="SELECT * FROM [wc_all_editions]"/>
  </connection>
  <connection id="4" xr16:uid="{23EE0221-7E26-4CD4-912F-B0FC08622640}" keepAlive="1" name="Query - wc_all_matches" description="Connection to the 'wc_all_matches' query in the workbook." type="5" refreshedVersion="8" background="1" saveData="1">
    <dbPr connection="Provider=Microsoft.Mashup.OleDb.1;Data Source=$Workbook$;Location=wc_all_matches;Extended Properties=&quot;&quot;" command="SELECT * FROM [wc_all_matches]"/>
  </connection>
  <connection id="5" xr16:uid="{9259C6A5-E4E4-47F3-837B-9F4D0B9523CB}" keepAlive="1" name="Query - wc_top_scorers" description="Connection to the 'wc_top_scorers' query in the workbook." type="5" refreshedVersion="8" background="1" saveData="1">
    <dbPr connection="Provider=Microsoft.Mashup.OleDb.1;Data Source=$Workbook$;Location=wc_top_scorers;Extended Properties=&quot;&quot;" command="SELECT * FROM [wc_top_scorers]"/>
  </connection>
</connections>
</file>

<file path=xl/sharedStrings.xml><?xml version="1.0" encoding="utf-8"?>
<sst xmlns="http://schemas.openxmlformats.org/spreadsheetml/2006/main" count="3226" uniqueCount="662">
  <si>
    <t>group</t>
  </si>
  <si>
    <t>stage</t>
  </si>
  <si>
    <t>team1</t>
  </si>
  <si>
    <t>team2</t>
  </si>
  <si>
    <t>venue</t>
  </si>
  <si>
    <t>city</t>
  </si>
  <si>
    <t>country</t>
  </si>
  <si>
    <t>date</t>
  </si>
  <si>
    <t>kickoff_et</t>
  </si>
  <si>
    <t>team1_confederation</t>
  </si>
  <si>
    <t>team1_fifa_rank</t>
  </si>
  <si>
    <t>team1_coach</t>
  </si>
  <si>
    <t>team2_confederation</t>
  </si>
  <si>
    <t>team2_fifa_rank</t>
  </si>
  <si>
    <t>team2_coach</t>
  </si>
  <si>
    <t>A</t>
  </si>
  <si>
    <t>Group Stage</t>
  </si>
  <si>
    <t>Mexico</t>
  </si>
  <si>
    <t>South Africa</t>
  </si>
  <si>
    <t>Estadio Azteca</t>
  </si>
  <si>
    <t>Mexico City</t>
  </si>
  <si>
    <t>20:00 ET</t>
  </si>
  <si>
    <t>CONCACAF</t>
  </si>
  <si>
    <t>Javier Aguirre</t>
  </si>
  <si>
    <t>CAF</t>
  </si>
  <si>
    <t>Hugo Broos</t>
  </si>
  <si>
    <t>South Korea</t>
  </si>
  <si>
    <t>Czechia</t>
  </si>
  <si>
    <t>Estadio Akron</t>
  </si>
  <si>
    <t>Guadalajara</t>
  </si>
  <si>
    <t>22:00 ET</t>
  </si>
  <si>
    <t>AFC</t>
  </si>
  <si>
    <t>Hong Myung-bo</t>
  </si>
  <si>
    <t>UEFA</t>
  </si>
  <si>
    <t>Ivan Hasek</t>
  </si>
  <si>
    <t>21:00 ET</t>
  </si>
  <si>
    <t>18:00 ET</t>
  </si>
  <si>
    <t>B</t>
  </si>
  <si>
    <t>Canada</t>
  </si>
  <si>
    <t>Bosnia and Herzegovina</t>
  </si>
  <si>
    <t>BMO Field</t>
  </si>
  <si>
    <t>Toronto</t>
  </si>
  <si>
    <t>15:00 ET</t>
  </si>
  <si>
    <t>Jesse Marsch</t>
  </si>
  <si>
    <t>Sergej Barbarez</t>
  </si>
  <si>
    <t>Qatar</t>
  </si>
  <si>
    <t>Switzerland</t>
  </si>
  <si>
    <t>Lumen Field</t>
  </si>
  <si>
    <t>Seattle</t>
  </si>
  <si>
    <t>USA</t>
  </si>
  <si>
    <t>Marquez Lopez</t>
  </si>
  <si>
    <t>Murat Yakin</t>
  </si>
  <si>
    <t>BC Place</t>
  </si>
  <si>
    <t>Vancouver</t>
  </si>
  <si>
    <t>C</t>
  </si>
  <si>
    <t>Brazil</t>
  </si>
  <si>
    <t>Morocco</t>
  </si>
  <si>
    <t>MetLife Stadium</t>
  </si>
  <si>
    <t>East Rutherford</t>
  </si>
  <si>
    <t>CONMEBOL</t>
  </si>
  <si>
    <t>Dorival Júnior</t>
  </si>
  <si>
    <t>Walid Regragui</t>
  </si>
  <si>
    <t>Haiti</t>
  </si>
  <si>
    <t>Scotland</t>
  </si>
  <si>
    <t>Gillette Stadium</t>
  </si>
  <si>
    <t>Foxborough</t>
  </si>
  <si>
    <t>Marc Collat</t>
  </si>
  <si>
    <t>Steve Clarke</t>
  </si>
  <si>
    <t>D</t>
  </si>
  <si>
    <t>Paraguay</t>
  </si>
  <si>
    <t>SoFi Stadium</t>
  </si>
  <si>
    <t>Inglewood</t>
  </si>
  <si>
    <t>Mauricio Pochettino</t>
  </si>
  <si>
    <t>Gustavo Alfaro</t>
  </si>
  <si>
    <t>Australia</t>
  </si>
  <si>
    <t>Türkiye</t>
  </si>
  <si>
    <t>12:00 ET</t>
  </si>
  <si>
    <t>Tony Popovic</t>
  </si>
  <si>
    <t>Vincenzo Montella</t>
  </si>
  <si>
    <t>Lincoln Financial Field</t>
  </si>
  <si>
    <t>Philadelphia</t>
  </si>
  <si>
    <t>00:00 ET</t>
  </si>
  <si>
    <t>AT&amp;T Stadium</t>
  </si>
  <si>
    <t>Arlington</t>
  </si>
  <si>
    <t>E</t>
  </si>
  <si>
    <t>Germany</t>
  </si>
  <si>
    <t>Curaçao</t>
  </si>
  <si>
    <t>NRG Stadium</t>
  </si>
  <si>
    <t>Houston</t>
  </si>
  <si>
    <t>13:00 ET</t>
  </si>
  <si>
    <t>Julian Nagelsmann</t>
  </si>
  <si>
    <t>Dick Advocaat</t>
  </si>
  <si>
    <t>Ivory Coast</t>
  </si>
  <si>
    <t>Ecuador</t>
  </si>
  <si>
    <t>19:00 ET</t>
  </si>
  <si>
    <t>Emerse Faé</t>
  </si>
  <si>
    <t>Sebastián Beccacece</t>
  </si>
  <si>
    <t>Mercedes-Benz Stadium</t>
  </si>
  <si>
    <t>Atlanta</t>
  </si>
  <si>
    <t>F</t>
  </si>
  <si>
    <t>Netherlands</t>
  </si>
  <si>
    <t>Japan</t>
  </si>
  <si>
    <t>16:00 ET</t>
  </si>
  <si>
    <t>Ronald Koeman</t>
  </si>
  <si>
    <t>Hajime Moriyasu</t>
  </si>
  <si>
    <t>Sweden</t>
  </si>
  <si>
    <t>Tunisia</t>
  </si>
  <si>
    <t>Estadio BBVA</t>
  </si>
  <si>
    <t>Monterrey</t>
  </si>
  <si>
    <t>Jon Dahl Tomasson</t>
  </si>
  <si>
    <t>Faouzi Benzarti</t>
  </si>
  <si>
    <t>14:00 ET</t>
  </si>
  <si>
    <t>G</t>
  </si>
  <si>
    <t>Belgium</t>
  </si>
  <si>
    <t>Egypt</t>
  </si>
  <si>
    <t>Domenico Tedesco</t>
  </si>
  <si>
    <t>Hossam El-Badry</t>
  </si>
  <si>
    <t>Iran</t>
  </si>
  <si>
    <t>New Zealand</t>
  </si>
  <si>
    <t>Amir Ghalenoei</t>
  </si>
  <si>
    <t>OFC</t>
  </si>
  <si>
    <t>Darren Bazeley</t>
  </si>
  <si>
    <t>H</t>
  </si>
  <si>
    <t>Spain</t>
  </si>
  <si>
    <t>Cape Verde</t>
  </si>
  <si>
    <t>Luis de la Fuente</t>
  </si>
  <si>
    <t>Pedro Brito</t>
  </si>
  <si>
    <t>Saudi Arabia</t>
  </si>
  <si>
    <t>Uruguay</t>
  </si>
  <si>
    <t>Hard Rock Stadium</t>
  </si>
  <si>
    <t>Miami</t>
  </si>
  <si>
    <t>Roberto Mancini</t>
  </si>
  <si>
    <t>Marcelo Bielsa</t>
  </si>
  <si>
    <t>I</t>
  </si>
  <si>
    <t>France</t>
  </si>
  <si>
    <t>Senegal</t>
  </si>
  <si>
    <t>Didier Deschamps</t>
  </si>
  <si>
    <t>Aliou Cissé</t>
  </si>
  <si>
    <t>Iraq</t>
  </si>
  <si>
    <t>Norway</t>
  </si>
  <si>
    <t>Graham Arnold</t>
  </si>
  <si>
    <t>Ståle Solbakken</t>
  </si>
  <si>
    <t>17:00 ET</t>
  </si>
  <si>
    <t>J</t>
  </si>
  <si>
    <t>Argentina</t>
  </si>
  <si>
    <t>Algeria</t>
  </si>
  <si>
    <t>Arrowhead Stadium</t>
  </si>
  <si>
    <t>Kansas City</t>
  </si>
  <si>
    <t>Lionel Scaloni</t>
  </si>
  <si>
    <t>Vladimir Petkovic</t>
  </si>
  <si>
    <t>Austria</t>
  </si>
  <si>
    <t>Jordan</t>
  </si>
  <si>
    <t>Ralf Rangnick</t>
  </si>
  <si>
    <t>Hussain Ammouta</t>
  </si>
  <si>
    <t>23:00 ET</t>
  </si>
  <si>
    <t>K</t>
  </si>
  <si>
    <t>Portugal</t>
  </si>
  <si>
    <t>DR Congo</t>
  </si>
  <si>
    <t>Roberto Martínez</t>
  </si>
  <si>
    <t>Sébastien Desabre</t>
  </si>
  <si>
    <t>Uzbekistan</t>
  </si>
  <si>
    <t>Colombia</t>
  </si>
  <si>
    <t>Srecko Katanec</t>
  </si>
  <si>
    <t>Néstor Lorenzo</t>
  </si>
  <si>
    <t>L</t>
  </si>
  <si>
    <t>England</t>
  </si>
  <si>
    <t>Croatia</t>
  </si>
  <si>
    <t>Thomas Tuchel</t>
  </si>
  <si>
    <t>Zlatko Dalić</t>
  </si>
  <si>
    <t>Ghana</t>
  </si>
  <si>
    <t>Panama</t>
  </si>
  <si>
    <t>Otto Addo</t>
  </si>
  <si>
    <t>Thomas Christiansen</t>
  </si>
  <si>
    <t/>
  </si>
  <si>
    <t>Round of 32</t>
  </si>
  <si>
    <t>1A</t>
  </si>
  <si>
    <t>2B</t>
  </si>
  <si>
    <t>TBD</t>
  </si>
  <si>
    <t>1B</t>
  </si>
  <si>
    <t>2A</t>
  </si>
  <si>
    <t>1C</t>
  </si>
  <si>
    <t>2D</t>
  </si>
  <si>
    <t>1D</t>
  </si>
  <si>
    <t>2C</t>
  </si>
  <si>
    <t>Rose Bowl</t>
  </si>
  <si>
    <t>Pasadena</t>
  </si>
  <si>
    <t>1E</t>
  </si>
  <si>
    <t>2F</t>
  </si>
  <si>
    <t>1F</t>
  </si>
  <si>
    <t>2E</t>
  </si>
  <si>
    <t>1G</t>
  </si>
  <si>
    <t>2H</t>
  </si>
  <si>
    <t>1H</t>
  </si>
  <si>
    <t>2G</t>
  </si>
  <si>
    <t>1I</t>
  </si>
  <si>
    <t>2J</t>
  </si>
  <si>
    <t>1J</t>
  </si>
  <si>
    <t>2I</t>
  </si>
  <si>
    <t>1K</t>
  </si>
  <si>
    <t>2L</t>
  </si>
  <si>
    <t>1L</t>
  </si>
  <si>
    <t>2K</t>
  </si>
  <si>
    <t>Best 3rd #1</t>
  </si>
  <si>
    <t>Best 3rd #2</t>
  </si>
  <si>
    <t>Best 3rd #3</t>
  </si>
  <si>
    <t>Best 3rd #4</t>
  </si>
  <si>
    <t>Best 3rd #5</t>
  </si>
  <si>
    <t>Best 3rd #6</t>
  </si>
  <si>
    <t>Best 3rd #7</t>
  </si>
  <si>
    <t>Best 3rd #8</t>
  </si>
  <si>
    <t>Round of 16</t>
  </si>
  <si>
    <t>R32 W1</t>
  </si>
  <si>
    <t>R32 W2</t>
  </si>
  <si>
    <t>R32 W3</t>
  </si>
  <si>
    <t>R32 W4</t>
  </si>
  <si>
    <t>R32 W5</t>
  </si>
  <si>
    <t>R32 W6</t>
  </si>
  <si>
    <t>R32 W7</t>
  </si>
  <si>
    <t>R32 W8</t>
  </si>
  <si>
    <t>R32 W9</t>
  </si>
  <si>
    <t>R32 W10</t>
  </si>
  <si>
    <t>R32 W11</t>
  </si>
  <si>
    <t>R32 W12</t>
  </si>
  <si>
    <t>R32 W13</t>
  </si>
  <si>
    <t>R32 W14</t>
  </si>
  <si>
    <t>R32 W15</t>
  </si>
  <si>
    <t>R32 W16</t>
  </si>
  <si>
    <t>Quarter-final</t>
  </si>
  <si>
    <t>QF1</t>
  </si>
  <si>
    <t>QF2</t>
  </si>
  <si>
    <t>QF3</t>
  </si>
  <si>
    <t>QF4</t>
  </si>
  <si>
    <t>QF5</t>
  </si>
  <si>
    <t>QF6</t>
  </si>
  <si>
    <t>QF7</t>
  </si>
  <si>
    <t>QF8</t>
  </si>
  <si>
    <t>Semi-final</t>
  </si>
  <si>
    <t>SF1</t>
  </si>
  <si>
    <t>SF2</t>
  </si>
  <si>
    <t>SF3</t>
  </si>
  <si>
    <t>SF4</t>
  </si>
  <si>
    <t>3rd Place Match</t>
  </si>
  <si>
    <t>3rd Place</t>
  </si>
  <si>
    <t>Final</t>
  </si>
  <si>
    <t>Finalist 1</t>
  </si>
  <si>
    <t>Finalist 2</t>
  </si>
  <si>
    <t>team</t>
  </si>
  <si>
    <t>confederation</t>
  </si>
  <si>
    <t>fifa_rank</t>
  </si>
  <si>
    <t>coach</t>
  </si>
  <si>
    <t>best_wc_result</t>
  </si>
  <si>
    <t>debut_2026</t>
  </si>
  <si>
    <t>Quarter-finals (1970,1986)</t>
  </si>
  <si>
    <t>No</t>
  </si>
  <si>
    <t>Group stage (1998,2002,2010)</t>
  </si>
  <si>
    <t>Semi-finals (2002)</t>
  </si>
  <si>
    <t>Runner-up (1934,1962)</t>
  </si>
  <si>
    <t>Group stage (1986,2022)</t>
  </si>
  <si>
    <t>Quarter-finals (1934,1938,1954)</t>
  </si>
  <si>
    <t>Group stage (2022)</t>
  </si>
  <si>
    <t>Group stage (2014)</t>
  </si>
  <si>
    <t>Winners (1958,1962,1970,1994,2002)</t>
  </si>
  <si>
    <t>Semi-finals (2022)</t>
  </si>
  <si>
    <t>Group stage (1974)</t>
  </si>
  <si>
    <t>Group stage (multiple)</t>
  </si>
  <si>
    <t>Third place (1930)</t>
  </si>
  <si>
    <t>Quarter-finals (2010)</t>
  </si>
  <si>
    <t>Round of 16 (2006,2022)</t>
  </si>
  <si>
    <t>Third place (2002)</t>
  </si>
  <si>
    <t>Winners (1954,1974,1990,2014)</t>
  </si>
  <si>
    <t>First appearance</t>
  </si>
  <si>
    <t>Yes</t>
  </si>
  <si>
    <t>Group stage (2006,2010,2014)</t>
  </si>
  <si>
    <t>Round of 16 (2006)</t>
  </si>
  <si>
    <t>Runner-up (1974,1978,2010)</t>
  </si>
  <si>
    <t>Round of 16 (2002,2010,2018,2022)</t>
  </si>
  <si>
    <t>Runner-up (1958)</t>
  </si>
  <si>
    <t>Group stage (6 apps)</t>
  </si>
  <si>
    <t>Semi-finals (2018)</t>
  </si>
  <si>
    <t>Round of 16 (1934)</t>
  </si>
  <si>
    <t>Group stage (1982,2010)</t>
  </si>
  <si>
    <t>Winners (2010)</t>
  </si>
  <si>
    <t>Round of 16 (1994)</t>
  </si>
  <si>
    <t>Winners (1930,1950)</t>
  </si>
  <si>
    <t>Winners (1998,2018)</t>
  </si>
  <si>
    <t>Quarter-finals (2002)</t>
  </si>
  <si>
    <t>Round of 16 (1994,1998)</t>
  </si>
  <si>
    <t>Group stage (1986)</t>
  </si>
  <si>
    <t>Winners (1978,1986,2022)</t>
  </si>
  <si>
    <t>Round of 16 (2014)</t>
  </si>
  <si>
    <t>Third place (1954)</t>
  </si>
  <si>
    <t>Semi-finals (1966,2006)</t>
  </si>
  <si>
    <t>Quarter-finals (2014)</t>
  </si>
  <si>
    <t>Winners (1966)</t>
  </si>
  <si>
    <t>Runner-up (2018)</t>
  </si>
  <si>
    <t>Group stage (2018)</t>
  </si>
  <si>
    <t>edition</t>
  </si>
  <si>
    <t>year</t>
  </si>
  <si>
    <t>host</t>
  </si>
  <si>
    <t>champion</t>
  </si>
  <si>
    <t>runner_up</t>
  </si>
  <si>
    <t>third_place</t>
  </si>
  <si>
    <t>fourth_place</t>
  </si>
  <si>
    <t>teams</t>
  </si>
  <si>
    <t>matches</t>
  </si>
  <si>
    <t>goals</t>
  </si>
  <si>
    <t>goals_per_match</t>
  </si>
  <si>
    <t>attendance</t>
  </si>
  <si>
    <t>top_scorer</t>
  </si>
  <si>
    <t>top_scorer_country</t>
  </si>
  <si>
    <t>top_scorer_goals</t>
  </si>
  <si>
    <t>start_date</t>
  </si>
  <si>
    <t>end_date</t>
  </si>
  <si>
    <t>final_city</t>
  </si>
  <si>
    <t>host_won</t>
  </si>
  <si>
    <t>format</t>
  </si>
  <si>
    <t>United States</t>
  </si>
  <si>
    <t>Yugoslavia</t>
  </si>
  <si>
    <t>Guillermo Stábile</t>
  </si>
  <si>
    <t>Montevideo</t>
  </si>
  <si>
    <t>Round Robin</t>
  </si>
  <si>
    <t>Italy</t>
  </si>
  <si>
    <t>Czechoslovakia</t>
  </si>
  <si>
    <t>Oldřich Nejedlý</t>
  </si>
  <si>
    <t>Rome</t>
  </si>
  <si>
    <t>Knockout</t>
  </si>
  <si>
    <t>Hungary</t>
  </si>
  <si>
    <t>Leônidas</t>
  </si>
  <si>
    <t>Paris</t>
  </si>
  <si>
    <t>Ademir</t>
  </si>
  <si>
    <t>Rio de Janeiro</t>
  </si>
  <si>
    <t>Round Robin Final</t>
  </si>
  <si>
    <t>West Germany</t>
  </si>
  <si>
    <t>Sándor Kocsis</t>
  </si>
  <si>
    <t>Bern</t>
  </si>
  <si>
    <t>Just Fontaine</t>
  </si>
  <si>
    <t>Stockholm</t>
  </si>
  <si>
    <t>Chile</t>
  </si>
  <si>
    <t>Florian Albert / Garrincha / Valentin Ivanov / Leonel Sánchez / Dražan Jerković / Vavá</t>
  </si>
  <si>
    <t>Multiple</t>
  </si>
  <si>
    <t>Santiago</t>
  </si>
  <si>
    <t>Soviet Union</t>
  </si>
  <si>
    <t>Eusébio</t>
  </si>
  <si>
    <t>London</t>
  </si>
  <si>
    <t>Gerd Müller</t>
  </si>
  <si>
    <t>Poland</t>
  </si>
  <si>
    <t>Grzegorz Lato</t>
  </si>
  <si>
    <t>Munich</t>
  </si>
  <si>
    <t>Mario Kempes</t>
  </si>
  <si>
    <t>Buenos Aires</t>
  </si>
  <si>
    <t>Paolo Rossi</t>
  </si>
  <si>
    <t>Madrid</t>
  </si>
  <si>
    <t>Gary Lineker</t>
  </si>
  <si>
    <t>Salvatore Schillaci</t>
  </si>
  <si>
    <t>Bulgaria</t>
  </si>
  <si>
    <t>Hristo Stoichkov / Oleg Salenko</t>
  </si>
  <si>
    <t>Bulgaria / Russia</t>
  </si>
  <si>
    <t>Davor Šuker</t>
  </si>
  <si>
    <t>South Korea / Japan</t>
  </si>
  <si>
    <t>Turkey</t>
  </si>
  <si>
    <t>Ronaldo</t>
  </si>
  <si>
    <t>Yokohama</t>
  </si>
  <si>
    <t>Miroslav Klose</t>
  </si>
  <si>
    <t>Berlin</t>
  </si>
  <si>
    <t>Thomas Müller / Wesley Sneijder / David Villa / Diego Forlán</t>
  </si>
  <si>
    <t>Johannesburg</t>
  </si>
  <si>
    <t>James Rodríguez</t>
  </si>
  <si>
    <t>Russia</t>
  </si>
  <si>
    <t>Harry Kane</t>
  </si>
  <si>
    <t>Moscow</t>
  </si>
  <si>
    <t>Kylian Mbappé</t>
  </si>
  <si>
    <t>Lusail</t>
  </si>
  <si>
    <t>score1</t>
  </si>
  <si>
    <t>score2</t>
  </si>
  <si>
    <t>notes</t>
  </si>
  <si>
    <t>Estadio Centenario</t>
  </si>
  <si>
    <t>First ever WC match</t>
  </si>
  <si>
    <t>Peru</t>
  </si>
  <si>
    <t>First WC Final</t>
  </si>
  <si>
    <t>PNF Stadium</t>
  </si>
  <si>
    <t>Florence</t>
  </si>
  <si>
    <t>AET - replay</t>
  </si>
  <si>
    <t>San Siro</t>
  </si>
  <si>
    <t>Milan</t>
  </si>
  <si>
    <t>Stadio Bentegodi</t>
  </si>
  <si>
    <t>Bologna</t>
  </si>
  <si>
    <t>Naples</t>
  </si>
  <si>
    <t>AET</t>
  </si>
  <si>
    <t>Stade de la Meinau</t>
  </si>
  <si>
    <t>Strasbourg</t>
  </si>
  <si>
    <t>AET - 11 goals!</t>
  </si>
  <si>
    <t>Stade de Gerland</t>
  </si>
  <si>
    <t>Lyon</t>
  </si>
  <si>
    <t>Bordeaux</t>
  </si>
  <si>
    <t>Replay</t>
  </si>
  <si>
    <t>Stade de Colombes</t>
  </si>
  <si>
    <t>Stade Olympique</t>
  </si>
  <si>
    <t>Stade de Bordeaux</t>
  </si>
  <si>
    <t>Estádio do Maracanã</t>
  </si>
  <si>
    <t>Estádio Independência</t>
  </si>
  <si>
    <t>Belo Horizonte</t>
  </si>
  <si>
    <t>Greatest WC upset ever</t>
  </si>
  <si>
    <t>Final Round</t>
  </si>
  <si>
    <t>São Paulo</t>
  </si>
  <si>
    <t>Maracanazo</t>
  </si>
  <si>
    <t>Hardturm</t>
  </si>
  <si>
    <t>Zürich</t>
  </si>
  <si>
    <t>Wankdorf</t>
  </si>
  <si>
    <t>Lausanne</t>
  </si>
  <si>
    <t>Highest scoring WC match ever</t>
  </si>
  <si>
    <t>Basel</t>
  </si>
  <si>
    <t>Miracle of Bern</t>
  </si>
  <si>
    <t>Ryavallen</t>
  </si>
  <si>
    <t>Borås</t>
  </si>
  <si>
    <t>Idrottsparken</t>
  </si>
  <si>
    <t>Norrköping</t>
  </si>
  <si>
    <t>Fontaine hat-trick</t>
  </si>
  <si>
    <t>Northern Ireland</t>
  </si>
  <si>
    <t>Ullevi</t>
  </si>
  <si>
    <t>Gothenburg</t>
  </si>
  <si>
    <t>Fontaine scores 4</t>
  </si>
  <si>
    <t>Råsunda</t>
  </si>
  <si>
    <t>Pelé scores 2 at 17</t>
  </si>
  <si>
    <t>Estadio El Teniente</t>
  </si>
  <si>
    <t>Rancagua</t>
  </si>
  <si>
    <t>Estadio Nacional</t>
  </si>
  <si>
    <t>Battle of Santiago</t>
  </si>
  <si>
    <t>Estadio Sausalito</t>
  </si>
  <si>
    <t>Viña del Mar</t>
  </si>
  <si>
    <t>Vina del Mar</t>
  </si>
  <si>
    <t>Wembley</t>
  </si>
  <si>
    <t>North Korea</t>
  </si>
  <si>
    <t>Ayresome Park</t>
  </si>
  <si>
    <t>Middlesbrough</t>
  </si>
  <si>
    <t>Biggest WC upset</t>
  </si>
  <si>
    <t>Goodison Park</t>
  </si>
  <si>
    <t>Liverpool</t>
  </si>
  <si>
    <t>Eusébio scores 4</t>
  </si>
  <si>
    <t>Geoff Hurst hat-trick</t>
  </si>
  <si>
    <t>Estadio Jalisco</t>
  </si>
  <si>
    <t>Estadio Nou Camp</t>
  </si>
  <si>
    <t>León</t>
  </si>
  <si>
    <t>AET - England 2-0 up</t>
  </si>
  <si>
    <t>Game of the Century AET</t>
  </si>
  <si>
    <t>Brazil keep the Jules Rimet</t>
  </si>
  <si>
    <t>East Germany</t>
  </si>
  <si>
    <t>Volksparkstadion</t>
  </si>
  <si>
    <t>Hamburg</t>
  </si>
  <si>
    <t>Only time they met</t>
  </si>
  <si>
    <t>Olympiastadion</t>
  </si>
  <si>
    <t>Semi-final Round</t>
  </si>
  <si>
    <t>Westfalenstadion</t>
  </si>
  <si>
    <t>Dortmund</t>
  </si>
  <si>
    <t>Frankfurt</t>
  </si>
  <si>
    <t>El Monumental</t>
  </si>
  <si>
    <t>Controversial result</t>
  </si>
  <si>
    <t>AET - Kempes 2</t>
  </si>
  <si>
    <t>El Molinon</t>
  </si>
  <si>
    <t>Gijón</t>
  </si>
  <si>
    <t>Biggest WC upset 1982</t>
  </si>
  <si>
    <t>Disgrace of Gijón</t>
  </si>
  <si>
    <t>Sarriá</t>
  </si>
  <si>
    <t>Barcelona</t>
  </si>
  <si>
    <t>Ramón Sánchez Pizjuán</t>
  </si>
  <si>
    <t>Seville</t>
  </si>
  <si>
    <t>First WC shootout - Germany win 5-4 pens</t>
  </si>
  <si>
    <t>Camp Nou</t>
  </si>
  <si>
    <t>Estadio Metropolitano</t>
  </si>
  <si>
    <t>Bernabéu</t>
  </si>
  <si>
    <t>Rossi wins Golden Boot</t>
  </si>
  <si>
    <t>Denmark</t>
  </si>
  <si>
    <t>Estadio Neza</t>
  </si>
  <si>
    <t>Nezahualcóyotl</t>
  </si>
  <si>
    <t>Hand of God + Goal of Century</t>
  </si>
  <si>
    <t>France win 4-3 pens</t>
  </si>
  <si>
    <t>Maradona 2 goals</t>
  </si>
  <si>
    <t>Estadio Cuauhtémoc</t>
  </si>
  <si>
    <t>Puebla</t>
  </si>
  <si>
    <t>Maradona's WC</t>
  </si>
  <si>
    <t>Cameroon</t>
  </si>
  <si>
    <t>Greatest WC upset 1990</t>
  </si>
  <si>
    <t>Stadio Giuseppe Meazza</t>
  </si>
  <si>
    <t>Rene Higuita error</t>
  </si>
  <si>
    <t>Ireland</t>
  </si>
  <si>
    <t>Romania</t>
  </si>
  <si>
    <t>Stadio Luigi Ferraris</t>
  </si>
  <si>
    <t>Genoa</t>
  </si>
  <si>
    <t>Ireland win 5-4 pens</t>
  </si>
  <si>
    <t>Stadio delle Alpi</t>
  </si>
  <si>
    <t>Turin</t>
  </si>
  <si>
    <t>Stadio Marc Antonio Bentegodi</t>
  </si>
  <si>
    <t>Argentina win 3-2 pens</t>
  </si>
  <si>
    <t>Germany win 4-3 pens - Gazza cries</t>
  </si>
  <si>
    <t>San Paolo</t>
  </si>
  <si>
    <t>Argentina win 4-3 pens</t>
  </si>
  <si>
    <t>Stadio San Nicola</t>
  </si>
  <si>
    <t>Bari</t>
  </si>
  <si>
    <t>Schillaci Golden Boot</t>
  </si>
  <si>
    <t>Stadio Olimpico</t>
  </si>
  <si>
    <t>Penalty - Brehme</t>
  </si>
  <si>
    <t>Bolivia</t>
  </si>
  <si>
    <t>Pontiac Silverdome</t>
  </si>
  <si>
    <t>Detroit</t>
  </si>
  <si>
    <t>First indoor WC match</t>
  </si>
  <si>
    <t>Stanford Stadium</t>
  </si>
  <si>
    <t>Palo Alto</t>
  </si>
  <si>
    <t>Salenko 5 goals</t>
  </si>
  <si>
    <t>Stanford</t>
  </si>
  <si>
    <t>Cotton Bowl</t>
  </si>
  <si>
    <t>Dallas</t>
  </si>
  <si>
    <t>Bebeto cradle celebration</t>
  </si>
  <si>
    <t>Giants Stadium</t>
  </si>
  <si>
    <t>New Jersey</t>
  </si>
  <si>
    <t>Brazil win 3-2 pens - Baggio misses</t>
  </si>
  <si>
    <t>Stade de France</t>
  </si>
  <si>
    <t>Saint-Denis</t>
  </si>
  <si>
    <t>Nigeria</t>
  </si>
  <si>
    <t>Stade de la Mosson</t>
  </si>
  <si>
    <t>Montpellier</t>
  </si>
  <si>
    <t>Stade Geoffroy-Guichard</t>
  </si>
  <si>
    <t>Saint-Étienne</t>
  </si>
  <si>
    <t>Beckham sent off - Argentina win 4-3 pens</t>
  </si>
  <si>
    <t>Félix Bollaert</t>
  </si>
  <si>
    <t>Lens</t>
  </si>
  <si>
    <t>AET - Blanc golden goal</t>
  </si>
  <si>
    <t>Stade Vélodrome</t>
  </si>
  <si>
    <t>Marseille</t>
  </si>
  <si>
    <t>Bergkamp goal of tournament</t>
  </si>
  <si>
    <t>Brazil win 4-2 pens</t>
  </si>
  <si>
    <t>Parc des Princes</t>
  </si>
  <si>
    <t>Ronaldo fit? France dominate</t>
  </si>
  <si>
    <t>Seoul World Cup Stadium</t>
  </si>
  <si>
    <t>Seoul</t>
  </si>
  <si>
    <t>Defending champions out in groups</t>
  </si>
  <si>
    <t>Suwon World Cup Stadium</t>
  </si>
  <si>
    <t>Suwon</t>
  </si>
  <si>
    <t>Daejeon World Cup Stadium</t>
  </si>
  <si>
    <t>Daejeon</t>
  </si>
  <si>
    <t>AET - Ahn golden goal</t>
  </si>
  <si>
    <t>Gwangju World Cup Stadium</t>
  </si>
  <si>
    <t>Gwangju</t>
  </si>
  <si>
    <t>South Korea win 5-3 pens</t>
  </si>
  <si>
    <t>Shizuoka Stadium</t>
  </si>
  <si>
    <t>Shizuoka</t>
  </si>
  <si>
    <t>Ronaldinho free kick</t>
  </si>
  <si>
    <t>Saitama Stadium</t>
  </si>
  <si>
    <t>Saitama</t>
  </si>
  <si>
    <t>Daegu World Cup Stadium</t>
  </si>
  <si>
    <t>Daegu</t>
  </si>
  <si>
    <t>Yokohama International</t>
  </si>
  <si>
    <t>Ronaldo 2 goals</t>
  </si>
  <si>
    <t>Costa Rica</t>
  </si>
  <si>
    <t>Allianz Arena</t>
  </si>
  <si>
    <t>Opening match</t>
  </si>
  <si>
    <t>Fritz Walter Stadion</t>
  </si>
  <si>
    <t>Kaiserslautern</t>
  </si>
  <si>
    <t>AET Totti pen</t>
  </si>
  <si>
    <t>Nuremberg</t>
  </si>
  <si>
    <t>Battle of Nuremberg - 4 red cards</t>
  </si>
  <si>
    <t>Ukraine</t>
  </si>
  <si>
    <t>Toni 2 goals</t>
  </si>
  <si>
    <t>Germany win 4-2 pens</t>
  </si>
  <si>
    <t>Signal Iduna Park</t>
  </si>
  <si>
    <t>Grosso + Del Piero AET injury time</t>
  </si>
  <si>
    <t>Zidane pen</t>
  </si>
  <si>
    <t>Gottlieb-Daimler-Stadion</t>
  </si>
  <si>
    <t>Stuttgart</t>
  </si>
  <si>
    <t>Zidane headbutt - Italy win 5-3 pens</t>
  </si>
  <si>
    <t>Soccer City</t>
  </si>
  <si>
    <t>First WC in Africa</t>
  </si>
  <si>
    <t>Royal Bafokeng</t>
  </si>
  <si>
    <t>Rustenburg</t>
  </si>
  <si>
    <t>Green howler</t>
  </si>
  <si>
    <t>Moses Mabhida</t>
  </si>
  <si>
    <t>Durban</t>
  </si>
  <si>
    <t>Free State Stadium</t>
  </si>
  <si>
    <t>Bloemfontein</t>
  </si>
  <si>
    <t>Lampard ghost goal</t>
  </si>
  <si>
    <t>Cape Town Stadium</t>
  </si>
  <si>
    <t>Cape Town</t>
  </si>
  <si>
    <t>Nelson Mandela Bay</t>
  </si>
  <si>
    <t>Port Elizabeth</t>
  </si>
  <si>
    <t>Robben goal</t>
  </si>
  <si>
    <t>Puyol header</t>
  </si>
  <si>
    <t>Forlan Golden Ball</t>
  </si>
  <si>
    <t>AET - Iniesta</t>
  </si>
  <si>
    <t>Arena de São Paulo</t>
  </si>
  <si>
    <t>Opening - OG + Neymar 2</t>
  </si>
  <si>
    <t>Arena Fonte Nova</t>
  </si>
  <si>
    <t>Salvador</t>
  </si>
  <si>
    <t>Defending champs thrashed</t>
  </si>
  <si>
    <t>Arena Corinthians</t>
  </si>
  <si>
    <t>Suárez 2</t>
  </si>
  <si>
    <t>Maracanã</t>
  </si>
  <si>
    <t>Suárez bites Chiellini</t>
  </si>
  <si>
    <t>Estadio Beira-Rio</t>
  </si>
  <si>
    <t>Porto Alegre</t>
  </si>
  <si>
    <t>Brasília</t>
  </si>
  <si>
    <t>Higuaín - Argentina win 1-0</t>
  </si>
  <si>
    <t>Hummels header</t>
  </si>
  <si>
    <t>Estadio Mineirão</t>
  </si>
  <si>
    <t>Mineirazo - biggest WC shock</t>
  </si>
  <si>
    <t>Argentina win 4-2 pens</t>
  </si>
  <si>
    <t>AET - Götze 113th min</t>
  </si>
  <si>
    <t>Luzhniki</t>
  </si>
  <si>
    <t>Defending champs shocked</t>
  </si>
  <si>
    <t>Fisht Olympic</t>
  </si>
  <si>
    <t>Sochi</t>
  </si>
  <si>
    <t>Ronaldo hat-trick</t>
  </si>
  <si>
    <t>Kazan Arena</t>
  </si>
  <si>
    <t>Kazan</t>
  </si>
  <si>
    <t>Mbappé double - Pavard screamer</t>
  </si>
  <si>
    <t>Russia win 4-3 pens</t>
  </si>
  <si>
    <t>Samara Arena</t>
  </si>
  <si>
    <t>Samara</t>
  </si>
  <si>
    <t>Neymar + Firmino</t>
  </si>
  <si>
    <t>Croatia win 4-3 pens</t>
  </si>
  <si>
    <t>De Bruyne assist + Chadli goal</t>
  </si>
  <si>
    <t>Saint Petersburg</t>
  </si>
  <si>
    <t>St Petersburg</t>
  </si>
  <si>
    <t>Umtiti header</t>
  </si>
  <si>
    <t>AET - Mandzukic</t>
  </si>
  <si>
    <t>Mbappé scores - youngest since Pelé</t>
  </si>
  <si>
    <t>Al Bayt Stadium</t>
  </si>
  <si>
    <t>Al Khor</t>
  </si>
  <si>
    <t>Opening match - Qatar humbled at home</t>
  </si>
  <si>
    <t>Lusail Stadium</t>
  </si>
  <si>
    <t>Biggest WC upset 2022</t>
  </si>
  <si>
    <t>Khalifa International</t>
  </si>
  <si>
    <t>Al Rayyan</t>
  </si>
  <si>
    <t>Germany out despite winning</t>
  </si>
  <si>
    <t>Education City Stadium</t>
  </si>
  <si>
    <t>Morocco win 3-0 pens</t>
  </si>
  <si>
    <t>Al Thumama Stadium</t>
  </si>
  <si>
    <t>Doha</t>
  </si>
  <si>
    <t>Mbappé double</t>
  </si>
  <si>
    <t>En-Nesyri - historic</t>
  </si>
  <si>
    <t>Kane pen miss</t>
  </si>
  <si>
    <t>Messi pen + Álvarez 2</t>
  </si>
  <si>
    <t>AET - Argentina win 4-2 pens - GOAT final</t>
  </si>
  <si>
    <t>player</t>
  </si>
  <si>
    <t>position</t>
  </si>
  <si>
    <t>assists</t>
  </si>
  <si>
    <t>penalties</t>
  </si>
  <si>
    <t>matches_played</t>
  </si>
  <si>
    <t>team_result</t>
  </si>
  <si>
    <t>FW</t>
  </si>
  <si>
    <t>Champions</t>
  </si>
  <si>
    <t>Third place</t>
  </si>
  <si>
    <t>Runner-up</t>
  </si>
  <si>
    <t>Multiple Winners</t>
  </si>
  <si>
    <t>Varies</t>
  </si>
  <si>
    <t>Hristo Stoichkov</t>
  </si>
  <si>
    <t>South Korea/Japan</t>
  </si>
  <si>
    <t>Thomas Müller</t>
  </si>
  <si>
    <t>Fourth place</t>
  </si>
  <si>
    <t>Total Goals</t>
  </si>
  <si>
    <t>Row Labels</t>
  </si>
  <si>
    <t>Grand Total</t>
  </si>
  <si>
    <t>Count of stage</t>
  </si>
  <si>
    <t>Sum of Total Goals</t>
  </si>
  <si>
    <t>Sum of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</si>
</sst>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Thyssen" refreshedDate="46198.599303356481" createdVersion="8" refreshedVersion="8" minRefreshableVersion="3" recordCount="184" xr:uid="{0359EF4D-259A-4492-AF8E-2DCB85C5B93B}">
  <cacheSource type="worksheet">
    <worksheetSource name="wc_all_matches"/>
  </cacheSource>
  <cacheFields count="12">
    <cacheField name="year" numFmtId="0">
      <sharedItems containsSemiMixedTypes="0" containsString="0" containsNumber="1" containsInteger="1" minValue="1930" maxValue="2022" count="22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  <n v="2018"/>
        <n v="2022"/>
      </sharedItems>
    </cacheField>
    <cacheField name="stage" numFmtId="0">
      <sharedItems count="8">
        <s v="Group Stage"/>
        <s v="Semi-final"/>
        <s v="Final"/>
        <s v="Round of 16"/>
        <s v="Quarter-final"/>
        <s v="3rd Place"/>
        <s v="Final Round"/>
        <s v="Semi-final Round"/>
      </sharedItems>
    </cacheField>
    <cacheField name="team1" numFmtId="0">
      <sharedItems/>
    </cacheField>
    <cacheField name="score1" numFmtId="0">
      <sharedItems containsSemiMixedTypes="0" containsString="0" containsNumber="1" containsInteger="1" minValue="0" maxValue="9"/>
    </cacheField>
    <cacheField name="score2" numFmtId="0">
      <sharedItems containsSemiMixedTypes="0" containsString="0" containsNumber="1" containsInteger="1" minValue="0" maxValue="10"/>
    </cacheField>
    <cacheField name="Total Goals" numFmtId="0">
      <sharedItems containsSemiMixedTypes="0" containsString="0" containsNumber="1" containsInteger="1" minValue="0" maxValue="13"/>
    </cacheField>
    <cacheField name="team2" numFmtId="0">
      <sharedItems/>
    </cacheField>
    <cacheField name="venue" numFmtId="0">
      <sharedItems/>
    </cacheField>
    <cacheField name="city" numFmtId="0">
      <sharedItems/>
    </cacheField>
    <cacheField name="country" numFmtId="0">
      <sharedItems/>
    </cacheField>
    <cacheField name="date" numFmtId="14">
      <sharedItems containsSemiMixedTypes="0" containsNonDate="0" containsDate="1" containsString="0" minDate="1930-07-13T00:00:00" maxDate="2022-12-19T00:00:00"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Thyssen" refreshedDate="46198.604412615743" createdVersion="8" refreshedVersion="8" minRefreshableVersion="3" recordCount="22" xr:uid="{9A8562D7-A8B7-4279-8288-451DDDA533FC}">
  <cacheSource type="worksheet">
    <worksheetSource name="wc_top_scorers"/>
  </cacheSource>
  <cacheFields count="11">
    <cacheField name="edition" numFmtId="0">
      <sharedItems containsSemiMixedTypes="0" containsString="0" containsNumber="1" containsInteger="1" minValue="1" maxValue="22"/>
    </cacheField>
    <cacheField name="year" numFmtId="0">
      <sharedItems containsSemiMixedTypes="0" containsString="0" containsNumber="1" containsInteger="1" minValue="1930" maxValue="2022" count="22">
        <n v="1930"/>
        <n v="1934"/>
        <n v="1938"/>
        <n v="1950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  <n v="2018"/>
        <n v="2022"/>
      </sharedItems>
    </cacheField>
    <cacheField name="player" numFmtId="0">
      <sharedItems count="22">
        <s v="Guillermo Stábile"/>
        <s v="Oldřich Nejedlý"/>
        <s v="Leônidas"/>
        <s v="Ademir"/>
        <s v="Sándor Kocsis"/>
        <s v="Just Fontaine"/>
        <s v="Multiple Winners"/>
        <s v="Eusébio"/>
        <s v="Gerd Müller"/>
        <s v="Grzegorz Lato"/>
        <s v="Mario Kempes"/>
        <s v="Paolo Rossi"/>
        <s v="Gary Lineker"/>
        <s v="Salvatore Schillaci"/>
        <s v="Hristo Stoichkov"/>
        <s v="Davor Šuker"/>
        <s v="Ronaldo"/>
        <s v="Miroslav Klose"/>
        <s v="Thomas Müller"/>
        <s v="James Rodríguez"/>
        <s v="Harry Kane"/>
        <s v="Kylian Mbappé"/>
      </sharedItems>
    </cacheField>
    <cacheField name="country" numFmtId="0">
      <sharedItems count="15">
        <s v="Argentina"/>
        <s v="Czechoslovakia"/>
        <s v="Brazil"/>
        <s v="Hungary"/>
        <s v="France"/>
        <s v="Multiple"/>
        <s v="Portugal"/>
        <s v="West Germany"/>
        <s v="Poland"/>
        <s v="Italy"/>
        <s v="England"/>
        <s v="Bulgaria"/>
        <s v="Croatia"/>
        <s v="Germany"/>
        <s v="Colombia"/>
      </sharedItems>
    </cacheField>
    <cacheField name="position" numFmtId="0">
      <sharedItems/>
    </cacheField>
    <cacheField name="goals" numFmtId="0">
      <sharedItems containsSemiMixedTypes="0" containsString="0" containsNumber="1" containsInteger="1" minValue="4" maxValue="13"/>
    </cacheField>
    <cacheField name="assists" numFmtId="0">
      <sharedItems containsSemiMixedTypes="0" containsString="0" containsNumber="1" containsInteger="1" minValue="0" maxValue="3"/>
    </cacheField>
    <cacheField name="penalties" numFmtId="0">
      <sharedItems containsSemiMixedTypes="0" containsString="0" containsNumber="1" containsInteger="1" minValue="0" maxValue="0"/>
    </cacheField>
    <cacheField name="matches_played" numFmtId="0">
      <sharedItems containsSemiMixedTypes="0" containsString="0" containsNumber="1" containsInteger="1" minValue="4" maxValue="7"/>
    </cacheField>
    <cacheField name="host" numFmtId="0">
      <sharedItems/>
    </cacheField>
    <cacheField name="team_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x v="0"/>
    <s v="France"/>
    <n v="4"/>
    <n v="1"/>
    <n v="5"/>
    <s v="Mexico"/>
    <s v="Estadio Centenario"/>
    <s v="Montevideo"/>
    <s v="Uruguay"/>
    <d v="1930-07-13T00:00:00"/>
    <s v="First ever WC match"/>
  </r>
  <r>
    <x v="0"/>
    <x v="0"/>
    <s v="USA"/>
    <n v="3"/>
    <n v="0"/>
    <n v="3"/>
    <s v="Belgium"/>
    <s v="Estadio Centenario"/>
    <s v="Montevideo"/>
    <s v="Uruguay"/>
    <d v="1930-07-13T00:00:00"/>
    <s v=""/>
  </r>
  <r>
    <x v="0"/>
    <x v="0"/>
    <s v="Yugoslavia"/>
    <n v="2"/>
    <n v="1"/>
    <n v="3"/>
    <s v="Brazil"/>
    <s v="Estadio Centenario"/>
    <s v="Montevideo"/>
    <s v="Uruguay"/>
    <d v="1930-07-14T00:00:00"/>
    <s v=""/>
  </r>
  <r>
    <x v="0"/>
    <x v="0"/>
    <s v="Uruguay"/>
    <n v="1"/>
    <n v="0"/>
    <n v="1"/>
    <s v="Peru"/>
    <s v="Estadio Centenario"/>
    <s v="Montevideo"/>
    <s v="Uruguay"/>
    <d v="1930-07-18T00:00:00"/>
    <s v=""/>
  </r>
  <r>
    <x v="0"/>
    <x v="0"/>
    <s v="Argentina"/>
    <n v="6"/>
    <n v="3"/>
    <n v="9"/>
    <s v="USA"/>
    <s v="Estadio Centenario"/>
    <s v="Montevideo"/>
    <s v="Uruguay"/>
    <d v="1930-07-26T00:00:00"/>
    <s v=""/>
  </r>
  <r>
    <x v="0"/>
    <x v="1"/>
    <s v="Uruguay"/>
    <n v="6"/>
    <n v="1"/>
    <n v="7"/>
    <s v="Yugoslavia"/>
    <s v="Estadio Centenario"/>
    <s v="Montevideo"/>
    <s v="Uruguay"/>
    <d v="1930-07-27T00:00:00"/>
    <s v=""/>
  </r>
  <r>
    <x v="0"/>
    <x v="1"/>
    <s v="Argentina"/>
    <n v="6"/>
    <n v="1"/>
    <n v="7"/>
    <s v="USA"/>
    <s v="Estadio Centenario"/>
    <s v="Montevideo"/>
    <s v="Uruguay"/>
    <d v="1930-07-26T00:00:00"/>
    <s v=""/>
  </r>
  <r>
    <x v="0"/>
    <x v="2"/>
    <s v="Uruguay"/>
    <n v="4"/>
    <n v="2"/>
    <n v="6"/>
    <s v="Argentina"/>
    <s v="Estadio Centenario"/>
    <s v="Montevideo"/>
    <s v="Uruguay"/>
    <d v="1930-07-30T00:00:00"/>
    <s v="First WC Final"/>
  </r>
  <r>
    <x v="1"/>
    <x v="3"/>
    <s v="Italy"/>
    <n v="7"/>
    <n v="1"/>
    <n v="8"/>
    <s v="USA"/>
    <s v="PNF Stadium"/>
    <s v="Rome"/>
    <s v="Italy"/>
    <d v="1934-05-27T00:00:00"/>
    <s v=""/>
  </r>
  <r>
    <x v="1"/>
    <x v="3"/>
    <s v="Germany"/>
    <n v="5"/>
    <n v="2"/>
    <n v="7"/>
    <s v="Belgium"/>
    <s v="PNF Stadium"/>
    <s v="Florence"/>
    <s v="Italy"/>
    <d v="1934-05-27T00:00:00"/>
    <s v=""/>
  </r>
  <r>
    <x v="1"/>
    <x v="4"/>
    <s v="Italy"/>
    <n v="1"/>
    <n v="1"/>
    <n v="2"/>
    <s v="Spain"/>
    <s v="PNF Stadium"/>
    <s v="Florence"/>
    <s v="Italy"/>
    <d v="1934-05-31T00:00:00"/>
    <s v="AET - replay"/>
  </r>
  <r>
    <x v="1"/>
    <x v="1"/>
    <s v="Italy"/>
    <n v="1"/>
    <n v="0"/>
    <n v="1"/>
    <s v="Austria"/>
    <s v="San Siro"/>
    <s v="Milan"/>
    <s v="Italy"/>
    <d v="1934-06-03T00:00:00"/>
    <s v=""/>
  </r>
  <r>
    <x v="1"/>
    <x v="1"/>
    <s v="Germany"/>
    <n v="3"/>
    <n v="1"/>
    <n v="4"/>
    <s v="Sweden"/>
    <s v="Stadio Bentegodi"/>
    <s v="Bologna"/>
    <s v="Italy"/>
    <d v="1934-06-03T00:00:00"/>
    <s v=""/>
  </r>
  <r>
    <x v="1"/>
    <x v="5"/>
    <s v="Germany"/>
    <n v="3"/>
    <n v="2"/>
    <n v="5"/>
    <s v="Austria"/>
    <s v="Stadio Bentegodi"/>
    <s v="Naples"/>
    <s v="Italy"/>
    <d v="1934-06-07T00:00:00"/>
    <s v=""/>
  </r>
  <r>
    <x v="1"/>
    <x v="2"/>
    <s v="Italy"/>
    <n v="2"/>
    <n v="1"/>
    <n v="3"/>
    <s v="Czechoslovakia"/>
    <s v="PNF Stadium"/>
    <s v="Rome"/>
    <s v="Italy"/>
    <d v="1934-06-10T00:00:00"/>
    <s v="AET"/>
  </r>
  <r>
    <x v="2"/>
    <x v="3"/>
    <s v="Brazil"/>
    <n v="6"/>
    <n v="5"/>
    <n v="11"/>
    <s v="Poland"/>
    <s v="Stade de la Meinau"/>
    <s v="Strasbourg"/>
    <s v="France"/>
    <d v="1938-06-05T00:00:00"/>
    <s v="AET - 11 goals!"/>
  </r>
  <r>
    <x v="2"/>
    <x v="3"/>
    <s v="Italy"/>
    <n v="2"/>
    <n v="1"/>
    <n v="3"/>
    <s v="Norway"/>
    <s v="Stade de Gerland"/>
    <s v="Lyon"/>
    <s v="France"/>
    <d v="1938-06-05T00:00:00"/>
    <s v="AET"/>
  </r>
  <r>
    <x v="2"/>
    <x v="4"/>
    <s v="Brazil"/>
    <n v="1"/>
    <n v="1"/>
    <n v="2"/>
    <s v="Czechoslovakia"/>
    <s v="Stade de la Meinau"/>
    <s v="Bordeaux"/>
    <s v="France"/>
    <d v="1938-06-12T00:00:00"/>
    <s v="Replay"/>
  </r>
  <r>
    <x v="2"/>
    <x v="1"/>
    <s v="Italy"/>
    <n v="2"/>
    <n v="1"/>
    <n v="3"/>
    <s v="Brazil"/>
    <s v="Stade de Colombes"/>
    <s v="Paris"/>
    <s v="France"/>
    <d v="1938-06-16T00:00:00"/>
    <s v=""/>
  </r>
  <r>
    <x v="2"/>
    <x v="1"/>
    <s v="Hungary"/>
    <n v="5"/>
    <n v="1"/>
    <n v="6"/>
    <s v="Sweden"/>
    <s v="Stade Olympique"/>
    <s v="Paris"/>
    <s v="France"/>
    <d v="1938-06-16T00:00:00"/>
    <s v=""/>
  </r>
  <r>
    <x v="2"/>
    <x v="5"/>
    <s v="Brazil"/>
    <n v="4"/>
    <n v="2"/>
    <n v="6"/>
    <s v="Sweden"/>
    <s v="Stade de Bordeaux"/>
    <s v="Bordeaux"/>
    <s v="France"/>
    <d v="1938-06-19T00:00:00"/>
    <s v=""/>
  </r>
  <r>
    <x v="2"/>
    <x v="2"/>
    <s v="Italy"/>
    <n v="4"/>
    <n v="2"/>
    <n v="6"/>
    <s v="Hungary"/>
    <s v="Stade de Colombes"/>
    <s v="Paris"/>
    <s v="France"/>
    <d v="1938-06-19T00:00:00"/>
    <s v=""/>
  </r>
  <r>
    <x v="3"/>
    <x v="0"/>
    <s v="Brazil"/>
    <n v="4"/>
    <n v="0"/>
    <n v="4"/>
    <s v="Mexico"/>
    <s v="Estádio do Maracanã"/>
    <s v="Rio de Janeiro"/>
    <s v="Brazil"/>
    <d v="1950-06-24T00:00:00"/>
    <s v=""/>
  </r>
  <r>
    <x v="3"/>
    <x v="0"/>
    <s v="England"/>
    <n v="0"/>
    <n v="1"/>
    <n v="1"/>
    <s v="USA"/>
    <s v="Estádio Independência"/>
    <s v="Belo Horizonte"/>
    <s v="Brazil"/>
    <d v="1950-06-29T00:00:00"/>
    <s v="Greatest WC upset ever"/>
  </r>
  <r>
    <x v="3"/>
    <x v="6"/>
    <s v="Brazil"/>
    <n v="7"/>
    <n v="1"/>
    <n v="8"/>
    <s v="Sweden"/>
    <s v="Estádio do Maracanã"/>
    <s v="Rio de Janeiro"/>
    <s v="Brazil"/>
    <d v="1950-07-09T00:00:00"/>
    <s v=""/>
  </r>
  <r>
    <x v="3"/>
    <x v="6"/>
    <s v="Uruguay"/>
    <n v="3"/>
    <n v="2"/>
    <n v="5"/>
    <s v="Sweden"/>
    <s v="Estádio do Maracanã"/>
    <s v="São Paulo"/>
    <s v="Brazil"/>
    <d v="1950-07-09T00:00:00"/>
    <s v=""/>
  </r>
  <r>
    <x v="3"/>
    <x v="6"/>
    <s v="Uruguay"/>
    <n v="2"/>
    <n v="1"/>
    <n v="3"/>
    <s v="Brazil"/>
    <s v="Estádio do Maracanã"/>
    <s v="Rio de Janeiro"/>
    <s v="Brazil"/>
    <d v="1950-07-16T00:00:00"/>
    <s v="Maracanazo"/>
  </r>
  <r>
    <x v="4"/>
    <x v="0"/>
    <s v="Hungary"/>
    <n v="9"/>
    <n v="0"/>
    <n v="9"/>
    <s v="South Korea"/>
    <s v="Hardturm"/>
    <s v="Zürich"/>
    <s v="Switzerland"/>
    <d v="1954-06-17T00:00:00"/>
    <s v=""/>
  </r>
  <r>
    <x v="4"/>
    <x v="0"/>
    <s v="West Germany"/>
    <n v="3"/>
    <n v="8"/>
    <n v="11"/>
    <s v="Hungary"/>
    <s v="Wankdorf"/>
    <s v="Bern"/>
    <s v="Switzerland"/>
    <d v="1954-06-20T00:00:00"/>
    <s v=""/>
  </r>
  <r>
    <x v="4"/>
    <x v="4"/>
    <s v="Austria"/>
    <n v="7"/>
    <n v="5"/>
    <n v="12"/>
    <s v="Switzerland"/>
    <s v="Hardturm"/>
    <s v="Lausanne"/>
    <s v="Switzerland"/>
    <d v="1954-06-26T00:00:00"/>
    <s v="Highest scoring WC match ever"/>
  </r>
  <r>
    <x v="4"/>
    <x v="1"/>
    <s v="West Germany"/>
    <n v="6"/>
    <n v="1"/>
    <n v="7"/>
    <s v="Austria"/>
    <s v="Wankdorf"/>
    <s v="Basel"/>
    <s v="Switzerland"/>
    <d v="1954-06-30T00:00:00"/>
    <s v=""/>
  </r>
  <r>
    <x v="4"/>
    <x v="1"/>
    <s v="Hungary"/>
    <n v="4"/>
    <n v="2"/>
    <n v="6"/>
    <s v="Uruguay"/>
    <s v="Stade Olympique"/>
    <s v="Lausanne"/>
    <s v="Switzerland"/>
    <d v="1954-06-30T00:00:00"/>
    <s v=""/>
  </r>
  <r>
    <x v="4"/>
    <x v="5"/>
    <s v="Austria"/>
    <n v="3"/>
    <n v="1"/>
    <n v="4"/>
    <s v="Uruguay"/>
    <s v="Hardturm"/>
    <s v="Zürich"/>
    <s v="Switzerland"/>
    <d v="1954-07-03T00:00:00"/>
    <s v=""/>
  </r>
  <r>
    <x v="4"/>
    <x v="2"/>
    <s v="West Germany"/>
    <n v="3"/>
    <n v="2"/>
    <n v="5"/>
    <s v="Hungary"/>
    <s v="Wankdorf"/>
    <s v="Bern"/>
    <s v="Switzerland"/>
    <d v="1954-07-04T00:00:00"/>
    <s v="Miracle of Bern"/>
  </r>
  <r>
    <x v="5"/>
    <x v="0"/>
    <s v="Brazil"/>
    <n v="3"/>
    <n v="0"/>
    <n v="3"/>
    <s v="Austria"/>
    <s v="Ryavallen"/>
    <s v="Borås"/>
    <s v="Sweden"/>
    <d v="1958-06-08T00:00:00"/>
    <s v=""/>
  </r>
  <r>
    <x v="5"/>
    <x v="0"/>
    <s v="France"/>
    <n v="7"/>
    <n v="3"/>
    <n v="10"/>
    <s v="Paraguay"/>
    <s v="Idrottsparken"/>
    <s v="Norrköping"/>
    <s v="Sweden"/>
    <d v="1958-06-08T00:00:00"/>
    <s v="Fontaine hat-trick"/>
  </r>
  <r>
    <x v="5"/>
    <x v="4"/>
    <s v="France"/>
    <n v="4"/>
    <n v="0"/>
    <n v="4"/>
    <s v="Northern Ireland"/>
    <s v="Ullevi"/>
    <s v="Gothenburg"/>
    <s v="Sweden"/>
    <d v="1958-06-19T00:00:00"/>
    <s v=""/>
  </r>
  <r>
    <x v="5"/>
    <x v="1"/>
    <s v="Brazil"/>
    <n v="5"/>
    <n v="2"/>
    <n v="7"/>
    <s v="France"/>
    <s v="Ullevi"/>
    <s v="Gothenburg"/>
    <s v="Sweden"/>
    <d v="1958-06-24T00:00:00"/>
    <s v=""/>
  </r>
  <r>
    <x v="5"/>
    <x v="1"/>
    <s v="Sweden"/>
    <n v="3"/>
    <n v="1"/>
    <n v="4"/>
    <s v="West Germany"/>
    <s v="Ullevi"/>
    <s v="Gothenburg"/>
    <s v="Sweden"/>
    <d v="1958-06-24T00:00:00"/>
    <s v=""/>
  </r>
  <r>
    <x v="5"/>
    <x v="5"/>
    <s v="France"/>
    <n v="6"/>
    <n v="3"/>
    <n v="9"/>
    <s v="West Germany"/>
    <s v="Ullevi"/>
    <s v="Gothenburg"/>
    <s v="Sweden"/>
    <d v="1958-06-28T00:00:00"/>
    <s v="Fontaine scores 4"/>
  </r>
  <r>
    <x v="5"/>
    <x v="2"/>
    <s v="Brazil"/>
    <n v="5"/>
    <n v="2"/>
    <n v="7"/>
    <s v="Sweden"/>
    <s v="Råsunda"/>
    <s v="Stockholm"/>
    <s v="Sweden"/>
    <d v="1958-06-29T00:00:00"/>
    <s v="Pelé scores 2 at 17"/>
  </r>
  <r>
    <x v="6"/>
    <x v="0"/>
    <s v="Soviet Union"/>
    <n v="2"/>
    <n v="0"/>
    <n v="2"/>
    <s v="Yugoslavia"/>
    <s v="Estadio El Teniente"/>
    <s v="Rancagua"/>
    <s v="Chile"/>
    <d v="1962-05-31T00:00:00"/>
    <s v=""/>
  </r>
  <r>
    <x v="6"/>
    <x v="0"/>
    <s v="Italy"/>
    <n v="0"/>
    <n v="0"/>
    <n v="0"/>
    <s v="Chile"/>
    <s v="Estadio Nacional"/>
    <s v="Santiago"/>
    <s v="Chile"/>
    <d v="1962-06-02T00:00:00"/>
    <s v="Battle of Santiago"/>
  </r>
  <r>
    <x v="6"/>
    <x v="4"/>
    <s v="Brazil"/>
    <n v="3"/>
    <n v="1"/>
    <n v="4"/>
    <s v="England"/>
    <s v="Estadio Sausalito"/>
    <s v="Viña del Mar"/>
    <s v="Chile"/>
    <d v="1962-06-10T00:00:00"/>
    <s v=""/>
  </r>
  <r>
    <x v="6"/>
    <x v="1"/>
    <s v="Brazil"/>
    <n v="4"/>
    <n v="2"/>
    <n v="6"/>
    <s v="Chile"/>
    <s v="Estadio Nacional"/>
    <s v="Santiago"/>
    <s v="Chile"/>
    <d v="1962-06-13T00:00:00"/>
    <s v=""/>
  </r>
  <r>
    <x v="6"/>
    <x v="1"/>
    <s v="Czechoslovakia"/>
    <n v="3"/>
    <n v="1"/>
    <n v="4"/>
    <s v="Yugoslavia"/>
    <s v="Estadio El Teniente"/>
    <s v="Vina del Mar"/>
    <s v="Chile"/>
    <d v="1962-06-13T00:00:00"/>
    <s v=""/>
  </r>
  <r>
    <x v="6"/>
    <x v="5"/>
    <s v="Chile"/>
    <n v="1"/>
    <n v="0"/>
    <n v="1"/>
    <s v="Yugoslavia"/>
    <s v="Estadio Nacional"/>
    <s v="Santiago"/>
    <s v="Chile"/>
    <d v="1962-06-16T00:00:00"/>
    <s v=""/>
  </r>
  <r>
    <x v="6"/>
    <x v="2"/>
    <s v="Brazil"/>
    <n v="3"/>
    <n v="1"/>
    <n v="4"/>
    <s v="Czechoslovakia"/>
    <s v="Estadio Nacional"/>
    <s v="Santiago"/>
    <s v="Chile"/>
    <d v="1962-06-17T00:00:00"/>
    <s v=""/>
  </r>
  <r>
    <x v="7"/>
    <x v="0"/>
    <s v="England"/>
    <n v="0"/>
    <n v="0"/>
    <n v="0"/>
    <s v="Uruguay"/>
    <s v="Wembley"/>
    <s v="London"/>
    <s v="England"/>
    <d v="1966-07-11T00:00:00"/>
    <s v=""/>
  </r>
  <r>
    <x v="7"/>
    <x v="0"/>
    <s v="North Korea"/>
    <n v="1"/>
    <n v="0"/>
    <n v="1"/>
    <s v="Italy"/>
    <s v="Ayresome Park"/>
    <s v="Middlesbrough"/>
    <s v="England"/>
    <d v="1966-07-19T00:00:00"/>
    <s v="Biggest WC upset"/>
  </r>
  <r>
    <x v="7"/>
    <x v="4"/>
    <s v="North Korea"/>
    <n v="3"/>
    <n v="5"/>
    <n v="8"/>
    <s v="Portugal"/>
    <s v="Goodison Park"/>
    <s v="Liverpool"/>
    <s v="England"/>
    <d v="1966-07-23T00:00:00"/>
    <s v="Eusébio scores 4"/>
  </r>
  <r>
    <x v="7"/>
    <x v="4"/>
    <s v="England"/>
    <n v="1"/>
    <n v="0"/>
    <n v="1"/>
    <s v="Argentina"/>
    <s v="Wembley"/>
    <s v="London"/>
    <s v="England"/>
    <d v="1966-07-23T00:00:00"/>
    <s v=""/>
  </r>
  <r>
    <x v="7"/>
    <x v="1"/>
    <s v="England"/>
    <n v="2"/>
    <n v="1"/>
    <n v="3"/>
    <s v="Portugal"/>
    <s v="Wembley"/>
    <s v="London"/>
    <s v="England"/>
    <d v="1966-07-26T00:00:00"/>
    <s v=""/>
  </r>
  <r>
    <x v="7"/>
    <x v="1"/>
    <s v="West Germany"/>
    <n v="2"/>
    <n v="1"/>
    <n v="3"/>
    <s v="Soviet Union"/>
    <s v="Goodison Park"/>
    <s v="Liverpool"/>
    <s v="England"/>
    <d v="1966-07-25T00:00:00"/>
    <s v=""/>
  </r>
  <r>
    <x v="7"/>
    <x v="5"/>
    <s v="Portugal"/>
    <n v="2"/>
    <n v="1"/>
    <n v="3"/>
    <s v="Soviet Union"/>
    <s v="Wembley"/>
    <s v="London"/>
    <s v="England"/>
    <d v="1966-07-28T00:00:00"/>
    <s v=""/>
  </r>
  <r>
    <x v="7"/>
    <x v="2"/>
    <s v="England"/>
    <n v="4"/>
    <n v="2"/>
    <n v="6"/>
    <s v="West Germany"/>
    <s v="Wembley"/>
    <s v="London"/>
    <s v="England"/>
    <d v="1966-07-30T00:00:00"/>
    <s v="Geoff Hurst hat-trick"/>
  </r>
  <r>
    <x v="8"/>
    <x v="0"/>
    <s v="Brazil"/>
    <n v="4"/>
    <n v="1"/>
    <n v="5"/>
    <s v="Czechoslovakia"/>
    <s v="Estadio Jalisco"/>
    <s v="Guadalajara"/>
    <s v="Mexico"/>
    <d v="1970-06-03T00:00:00"/>
    <s v=""/>
  </r>
  <r>
    <x v="8"/>
    <x v="0"/>
    <s v="West Germany"/>
    <n v="3"/>
    <n v="10"/>
    <n v="13"/>
    <s v="Bulgaria"/>
    <s v="Estadio Nou Camp"/>
    <s v="León"/>
    <s v="Mexico"/>
    <d v="1970-06-02T00:00:00"/>
    <s v=""/>
  </r>
  <r>
    <x v="8"/>
    <x v="4"/>
    <s v="Brazil"/>
    <n v="4"/>
    <n v="2"/>
    <n v="6"/>
    <s v="Peru"/>
    <s v="Estadio Jalisco"/>
    <s v="Guadalajara"/>
    <s v="Mexico"/>
    <d v="1970-06-14T00:00:00"/>
    <s v=""/>
  </r>
  <r>
    <x v="8"/>
    <x v="4"/>
    <s v="West Germany"/>
    <n v="3"/>
    <n v="2"/>
    <n v="5"/>
    <s v="England"/>
    <s v="Estadio Nou Camp"/>
    <s v="León"/>
    <s v="Mexico"/>
    <d v="1970-06-14T00:00:00"/>
    <s v="AET - England 2-0 up"/>
  </r>
  <r>
    <x v="8"/>
    <x v="1"/>
    <s v="Italy"/>
    <n v="4"/>
    <n v="3"/>
    <n v="7"/>
    <s v="West Germany"/>
    <s v="Estadio Azteca"/>
    <s v="Mexico City"/>
    <s v="Mexico"/>
    <d v="1970-06-17T00:00:00"/>
    <s v="Game of the Century AET"/>
  </r>
  <r>
    <x v="8"/>
    <x v="1"/>
    <s v="Brazil"/>
    <n v="3"/>
    <n v="1"/>
    <n v="4"/>
    <s v="Uruguay"/>
    <s v="Estadio Jalisco"/>
    <s v="Guadalajara"/>
    <s v="Mexico"/>
    <d v="1970-06-17T00:00:00"/>
    <s v=""/>
  </r>
  <r>
    <x v="8"/>
    <x v="5"/>
    <s v="West Germany"/>
    <n v="1"/>
    <n v="0"/>
    <n v="1"/>
    <s v="Uruguay"/>
    <s v="Estadio Azteca"/>
    <s v="Mexico City"/>
    <s v="Mexico"/>
    <d v="1970-06-20T00:00:00"/>
    <s v=""/>
  </r>
  <r>
    <x v="8"/>
    <x v="2"/>
    <s v="Brazil"/>
    <n v="4"/>
    <n v="1"/>
    <n v="5"/>
    <s v="Italy"/>
    <s v="Estadio Azteca"/>
    <s v="Mexico City"/>
    <s v="Mexico"/>
    <d v="1970-06-21T00:00:00"/>
    <s v="Brazil keep the Jules Rimet"/>
  </r>
  <r>
    <x v="9"/>
    <x v="0"/>
    <s v="East Germany"/>
    <n v="1"/>
    <n v="0"/>
    <n v="1"/>
    <s v="West Germany"/>
    <s v="Volksparkstadion"/>
    <s v="Hamburg"/>
    <s v="West Germany"/>
    <d v="1974-06-22T00:00:00"/>
    <s v="Only time they met"/>
  </r>
  <r>
    <x v="9"/>
    <x v="0"/>
    <s v="Brazil"/>
    <n v="0"/>
    <n v="0"/>
    <n v="0"/>
    <s v="Yugoslavia"/>
    <s v="Olympiastadion"/>
    <s v="Berlin"/>
    <s v="West Germany"/>
    <d v="1974-06-18T00:00:00"/>
    <s v=""/>
  </r>
  <r>
    <x v="9"/>
    <x v="7"/>
    <s v="Netherlands"/>
    <n v="2"/>
    <n v="0"/>
    <n v="2"/>
    <s v="Brazil"/>
    <s v="Westfalenstadion"/>
    <s v="Dortmund"/>
    <s v="West Germany"/>
    <d v="1974-07-03T00:00:00"/>
    <s v=""/>
  </r>
  <r>
    <x v="9"/>
    <x v="7"/>
    <s v="West Germany"/>
    <n v="1"/>
    <n v="0"/>
    <n v="1"/>
    <s v="Poland"/>
    <s v="Olympiastadion"/>
    <s v="Frankfurt"/>
    <s v="West Germany"/>
    <d v="1974-07-03T00:00:00"/>
    <s v=""/>
  </r>
  <r>
    <x v="9"/>
    <x v="5"/>
    <s v="Poland"/>
    <n v="1"/>
    <n v="0"/>
    <n v="1"/>
    <s v="Brazil"/>
    <s v="Olympiastadion"/>
    <s v="Munich"/>
    <s v="West Germany"/>
    <d v="1974-07-06T00:00:00"/>
    <s v=""/>
  </r>
  <r>
    <x v="9"/>
    <x v="2"/>
    <s v="West Germany"/>
    <n v="2"/>
    <n v="1"/>
    <n v="3"/>
    <s v="Netherlands"/>
    <s v="Olympiastadion"/>
    <s v="Munich"/>
    <s v="West Germany"/>
    <d v="1974-07-07T00:00:00"/>
    <s v=""/>
  </r>
  <r>
    <x v="10"/>
    <x v="0"/>
    <s v="Argentina"/>
    <n v="2"/>
    <n v="1"/>
    <n v="3"/>
    <s v="Hungary"/>
    <s v="El Monumental"/>
    <s v="Buenos Aires"/>
    <s v="Argentina"/>
    <d v="1978-06-02T00:00:00"/>
    <s v=""/>
  </r>
  <r>
    <x v="10"/>
    <x v="0"/>
    <s v="Italy"/>
    <n v="1"/>
    <n v="0"/>
    <n v="1"/>
    <s v="Argentina"/>
    <s v="El Monumental"/>
    <s v="Buenos Aires"/>
    <s v="Argentina"/>
    <d v="1978-06-10T00:00:00"/>
    <s v=""/>
  </r>
  <r>
    <x v="10"/>
    <x v="0"/>
    <s v="Argentina"/>
    <n v="6"/>
    <n v="0"/>
    <n v="6"/>
    <s v="Peru"/>
    <s v="El Monumental"/>
    <s v="Buenos Aires"/>
    <s v="Argentina"/>
    <d v="1978-06-21T00:00:00"/>
    <s v="Controversial result"/>
  </r>
  <r>
    <x v="10"/>
    <x v="5"/>
    <s v="Brazil"/>
    <n v="2"/>
    <n v="1"/>
    <n v="3"/>
    <s v="Italy"/>
    <s v="El Monumental"/>
    <s v="Buenos Aires"/>
    <s v="Argentina"/>
    <d v="1978-06-24T00:00:00"/>
    <s v=""/>
  </r>
  <r>
    <x v="10"/>
    <x v="2"/>
    <s v="Argentina"/>
    <n v="3"/>
    <n v="1"/>
    <n v="4"/>
    <s v="Netherlands"/>
    <s v="El Monumental"/>
    <s v="Buenos Aires"/>
    <s v="Argentina"/>
    <d v="1978-06-25T00:00:00"/>
    <s v="AET - Kempes 2"/>
  </r>
  <r>
    <x v="11"/>
    <x v="0"/>
    <s v="Algeria"/>
    <n v="2"/>
    <n v="1"/>
    <n v="3"/>
    <s v="West Germany"/>
    <s v="El Molinon"/>
    <s v="Gijón"/>
    <s v="Spain"/>
    <d v="1982-06-16T00:00:00"/>
    <s v="Biggest WC upset 1982"/>
  </r>
  <r>
    <x v="11"/>
    <x v="0"/>
    <s v="West Germany"/>
    <n v="1"/>
    <n v="0"/>
    <n v="1"/>
    <s v="Austria"/>
    <s v="El Molinon"/>
    <s v="Gijón"/>
    <s v="Spain"/>
    <d v="1982-06-25T00:00:00"/>
    <s v="Disgrace of Gijón"/>
  </r>
  <r>
    <x v="11"/>
    <x v="0"/>
    <s v="Brazil"/>
    <n v="3"/>
    <n v="1"/>
    <n v="4"/>
    <s v="Argentina"/>
    <s v="Sarriá"/>
    <s v="Barcelona"/>
    <s v="Spain"/>
    <d v="1982-06-02T00:00:00"/>
    <s v=""/>
  </r>
  <r>
    <x v="11"/>
    <x v="4"/>
    <s v="West Germany"/>
    <n v="0"/>
    <n v="0"/>
    <n v="0"/>
    <s v="France"/>
    <s v="Ramón Sánchez Pizjuán"/>
    <s v="Seville"/>
    <s v="Spain"/>
    <d v="1982-07-08T00:00:00"/>
    <s v="First WC shootout - Germany win 5-4 pens"/>
  </r>
  <r>
    <x v="11"/>
    <x v="1"/>
    <s v="Italy"/>
    <n v="2"/>
    <n v="0"/>
    <n v="2"/>
    <s v="Poland"/>
    <s v="Camp Nou"/>
    <s v="Barcelona"/>
    <s v="Spain"/>
    <d v="1982-07-08T00:00:00"/>
    <s v=""/>
  </r>
  <r>
    <x v="11"/>
    <x v="5"/>
    <s v="Poland"/>
    <n v="3"/>
    <n v="2"/>
    <n v="5"/>
    <s v="France"/>
    <s v="Estadio Metropolitano"/>
    <s v="Madrid"/>
    <s v="Spain"/>
    <d v="1982-07-10T00:00:00"/>
    <s v=""/>
  </r>
  <r>
    <x v="11"/>
    <x v="2"/>
    <s v="Italy"/>
    <n v="3"/>
    <n v="1"/>
    <n v="4"/>
    <s v="West Germany"/>
    <s v="Bernabéu"/>
    <s v="Madrid"/>
    <s v="Spain"/>
    <d v="1982-07-11T00:00:00"/>
    <s v="Rossi wins Golden Boot"/>
  </r>
  <r>
    <x v="12"/>
    <x v="0"/>
    <s v="Denmark"/>
    <n v="6"/>
    <n v="1"/>
    <n v="7"/>
    <s v="Uruguay"/>
    <s v="Estadio Neza"/>
    <s v="Nezahualcóyotl"/>
    <s v="Mexico"/>
    <d v="1986-06-08T00:00:00"/>
    <s v=""/>
  </r>
  <r>
    <x v="12"/>
    <x v="3"/>
    <s v="Belgium"/>
    <n v="4"/>
    <n v="3"/>
    <n v="7"/>
    <s v="Soviet Union"/>
    <s v="Estadio Jalisco"/>
    <s v="Guadalajara"/>
    <s v="Mexico"/>
    <d v="1986-06-15T00:00:00"/>
    <s v="AET"/>
  </r>
  <r>
    <x v="12"/>
    <x v="4"/>
    <s v="Argentina"/>
    <n v="2"/>
    <n v="1"/>
    <n v="3"/>
    <s v="England"/>
    <s v="Estadio Azteca"/>
    <s v="Mexico City"/>
    <s v="Mexico"/>
    <d v="1986-06-22T00:00:00"/>
    <s v="Hand of God + Goal of Century"/>
  </r>
  <r>
    <x v="12"/>
    <x v="4"/>
    <s v="France"/>
    <n v="0"/>
    <n v="0"/>
    <n v="0"/>
    <s v="Brazil"/>
    <s v="Estadio Jalisco"/>
    <s v="Guadalajara"/>
    <s v="Mexico"/>
    <d v="1986-06-21T00:00:00"/>
    <s v="France win 4-3 pens"/>
  </r>
  <r>
    <x v="12"/>
    <x v="1"/>
    <s v="Argentina"/>
    <n v="2"/>
    <n v="0"/>
    <n v="2"/>
    <s v="Belgium"/>
    <s v="Estadio Azteca"/>
    <s v="Mexico City"/>
    <s v="Mexico"/>
    <d v="1986-06-25T00:00:00"/>
    <s v="Maradona 2 goals"/>
  </r>
  <r>
    <x v="12"/>
    <x v="1"/>
    <s v="West Germany"/>
    <n v="2"/>
    <n v="0"/>
    <n v="2"/>
    <s v="France"/>
    <s v="Estadio Jalisco"/>
    <s v="Guadalajara"/>
    <s v="Mexico"/>
    <d v="1986-06-25T00:00:00"/>
    <s v=""/>
  </r>
  <r>
    <x v="12"/>
    <x v="5"/>
    <s v="France"/>
    <n v="4"/>
    <n v="2"/>
    <n v="6"/>
    <s v="Belgium"/>
    <s v="Estadio Cuauhtémoc"/>
    <s v="Puebla"/>
    <s v="Mexico"/>
    <d v="1986-06-28T00:00:00"/>
    <s v=""/>
  </r>
  <r>
    <x v="12"/>
    <x v="2"/>
    <s v="Argentina"/>
    <n v="3"/>
    <n v="2"/>
    <n v="5"/>
    <s v="West Germany"/>
    <s v="Estadio Azteca"/>
    <s v="Mexico City"/>
    <s v="Mexico"/>
    <d v="1986-06-29T00:00:00"/>
    <s v="Maradona's WC"/>
  </r>
  <r>
    <x v="13"/>
    <x v="0"/>
    <s v="Argentina"/>
    <n v="0"/>
    <n v="1"/>
    <n v="1"/>
    <s v="Cameroon"/>
    <s v="San Siro"/>
    <s v="Milan"/>
    <s v="Italy"/>
    <d v="1990-06-08T00:00:00"/>
    <s v="Greatest WC upset 1990"/>
  </r>
  <r>
    <x v="13"/>
    <x v="0"/>
    <s v="Colombia"/>
    <n v="1"/>
    <n v="1"/>
    <n v="2"/>
    <s v="West Germany"/>
    <s v="Stadio Giuseppe Meazza"/>
    <s v="Milan"/>
    <s v="Italy"/>
    <d v="1990-06-19T00:00:00"/>
    <s v="Rene Higuita error"/>
  </r>
  <r>
    <x v="13"/>
    <x v="3"/>
    <s v="Ireland"/>
    <n v="0"/>
    <n v="0"/>
    <n v="0"/>
    <s v="Romania"/>
    <s v="Stadio Luigi Ferraris"/>
    <s v="Genoa"/>
    <s v="Italy"/>
    <d v="1990-06-25T00:00:00"/>
    <s v="Ireland win 5-4 pens"/>
  </r>
  <r>
    <x v="13"/>
    <x v="4"/>
    <s v="West Germany"/>
    <n v="1"/>
    <n v="0"/>
    <n v="1"/>
    <s v="Czechoslovakia"/>
    <s v="Stadio delle Alpi"/>
    <s v="Turin"/>
    <s v="Italy"/>
    <d v="1990-07-01T00:00:00"/>
    <s v=""/>
  </r>
  <r>
    <x v="13"/>
    <x v="4"/>
    <s v="Argentina"/>
    <n v="0"/>
    <n v="0"/>
    <n v="0"/>
    <s v="Yugoslavia"/>
    <s v="Stadio Marc Antonio Bentegodi"/>
    <s v="Florence"/>
    <s v="Italy"/>
    <d v="1990-07-01T00:00:00"/>
    <s v="Argentina win 3-2 pens"/>
  </r>
  <r>
    <x v="13"/>
    <x v="1"/>
    <s v="West Germany"/>
    <n v="1"/>
    <n v="1"/>
    <n v="2"/>
    <s v="England"/>
    <s v="Stadio delle Alpi"/>
    <s v="Turin"/>
    <s v="Italy"/>
    <d v="1990-07-04T00:00:00"/>
    <s v="Germany win 4-3 pens - Gazza cries"/>
  </r>
  <r>
    <x v="13"/>
    <x v="1"/>
    <s v="Argentina"/>
    <n v="1"/>
    <n v="1"/>
    <n v="2"/>
    <s v="Italy"/>
    <s v="San Paolo"/>
    <s v="Naples"/>
    <s v="Italy"/>
    <d v="1990-07-03T00:00:00"/>
    <s v="Argentina win 4-3 pens"/>
  </r>
  <r>
    <x v="13"/>
    <x v="5"/>
    <s v="Italy"/>
    <n v="2"/>
    <n v="1"/>
    <n v="3"/>
    <s v="England"/>
    <s v="Stadio San Nicola"/>
    <s v="Bari"/>
    <s v="Italy"/>
    <d v="1990-07-07T00:00:00"/>
    <s v="Schillaci Golden Boot"/>
  </r>
  <r>
    <x v="13"/>
    <x v="2"/>
    <s v="West Germany"/>
    <n v="1"/>
    <n v="0"/>
    <n v="1"/>
    <s v="Argentina"/>
    <s v="Stadio Olimpico"/>
    <s v="Rome"/>
    <s v="Italy"/>
    <d v="1990-07-08T00:00:00"/>
    <s v="Penalty - Brehme"/>
  </r>
  <r>
    <x v="14"/>
    <x v="0"/>
    <s v="Bolivia"/>
    <n v="0"/>
    <n v="1"/>
    <n v="1"/>
    <s v="Germany"/>
    <s v="Pontiac Silverdome"/>
    <s v="Detroit"/>
    <s v="USA"/>
    <d v="1994-06-17T00:00:00"/>
    <s v="First indoor WC match"/>
  </r>
  <r>
    <x v="14"/>
    <x v="0"/>
    <s v="Russia"/>
    <n v="6"/>
    <n v="1"/>
    <n v="7"/>
    <s v="Cameroon"/>
    <s v="Stanford Stadium"/>
    <s v="Palo Alto"/>
    <s v="USA"/>
    <d v="1994-06-28T00:00:00"/>
    <s v="Salenko 5 goals"/>
  </r>
  <r>
    <x v="14"/>
    <x v="0"/>
    <s v="Brazil"/>
    <n v="3"/>
    <n v="0"/>
    <n v="3"/>
    <s v="Russia"/>
    <s v="Stanford Stadium"/>
    <s v="Stanford"/>
    <s v="USA"/>
    <d v="1994-06-28T00:00:00"/>
    <s v=""/>
  </r>
  <r>
    <x v="14"/>
    <x v="4"/>
    <s v="Brazil"/>
    <n v="1"/>
    <n v="0"/>
    <n v="1"/>
    <s v="Netherlands"/>
    <s v="Cotton Bowl"/>
    <s v="Dallas"/>
    <s v="USA"/>
    <d v="1994-07-09T00:00:00"/>
    <s v="Bebeto cradle celebration"/>
  </r>
  <r>
    <x v="14"/>
    <x v="1"/>
    <s v="Brazil"/>
    <n v="1"/>
    <n v="0"/>
    <n v="1"/>
    <s v="Sweden"/>
    <s v="Rose Bowl"/>
    <s v="Pasadena"/>
    <s v="USA"/>
    <d v="1994-07-13T00:00:00"/>
    <s v=""/>
  </r>
  <r>
    <x v="14"/>
    <x v="1"/>
    <s v="Italy"/>
    <n v="2"/>
    <n v="1"/>
    <n v="3"/>
    <s v="Bulgaria"/>
    <s v="Giants Stadium"/>
    <s v="New Jersey"/>
    <s v="USA"/>
    <d v="1994-07-13T00:00:00"/>
    <s v=""/>
  </r>
  <r>
    <x v="14"/>
    <x v="5"/>
    <s v="Sweden"/>
    <n v="4"/>
    <n v="0"/>
    <n v="4"/>
    <s v="Bulgaria"/>
    <s v="Rose Bowl"/>
    <s v="Pasadena"/>
    <s v="USA"/>
    <d v="1994-07-16T00:00:00"/>
    <s v=""/>
  </r>
  <r>
    <x v="14"/>
    <x v="2"/>
    <s v="Brazil"/>
    <n v="0"/>
    <n v="0"/>
    <n v="0"/>
    <s v="Italy"/>
    <s v="Rose Bowl"/>
    <s v="Pasadena"/>
    <s v="USA"/>
    <d v="1994-07-17T00:00:00"/>
    <s v="Brazil win 3-2 pens - Baggio misses"/>
  </r>
  <r>
    <x v="15"/>
    <x v="0"/>
    <s v="Brazil"/>
    <n v="2"/>
    <n v="1"/>
    <n v="3"/>
    <s v="Scotland"/>
    <s v="Stade de France"/>
    <s v="Saint-Denis"/>
    <s v="France"/>
    <d v="1998-06-10T00:00:00"/>
    <s v=""/>
  </r>
  <r>
    <x v="15"/>
    <x v="0"/>
    <s v="Nigeria"/>
    <n v="3"/>
    <n v="2"/>
    <n v="5"/>
    <s v="Spain"/>
    <s v="Stade de la Mosson"/>
    <s v="Montpellier"/>
    <s v="France"/>
    <d v="1998-06-13T00:00:00"/>
    <s v=""/>
  </r>
  <r>
    <x v="15"/>
    <x v="3"/>
    <s v="Argentina"/>
    <n v="2"/>
    <n v="2"/>
    <n v="4"/>
    <s v="England"/>
    <s v="Stade Geoffroy-Guichard"/>
    <s v="Saint-Étienne"/>
    <s v="France"/>
    <d v="1998-06-30T00:00:00"/>
    <s v="Beckham sent off - Argentina win 4-3 pens"/>
  </r>
  <r>
    <x v="15"/>
    <x v="3"/>
    <s v="France"/>
    <n v="1"/>
    <n v="0"/>
    <n v="1"/>
    <s v="Paraguay"/>
    <s v="Félix Bollaert"/>
    <s v="Lens"/>
    <s v="France"/>
    <d v="1998-06-28T00:00:00"/>
    <s v="AET - Blanc golden goal"/>
  </r>
  <r>
    <x v="15"/>
    <x v="4"/>
    <s v="Netherlands"/>
    <n v="2"/>
    <n v="1"/>
    <n v="3"/>
    <s v="Argentina"/>
    <s v="Stade Vélodrome"/>
    <s v="Marseille"/>
    <s v="France"/>
    <d v="1998-07-04T00:00:00"/>
    <s v="Bergkamp goal of tournament"/>
  </r>
  <r>
    <x v="15"/>
    <x v="4"/>
    <s v="France"/>
    <n v="0"/>
    <n v="0"/>
    <n v="0"/>
    <s v="Italy"/>
    <s v="Stade de France"/>
    <s v="Saint-Denis"/>
    <s v="France"/>
    <d v="1998-07-03T00:00:00"/>
    <s v="France win 4-3 pens"/>
  </r>
  <r>
    <x v="15"/>
    <x v="1"/>
    <s v="France"/>
    <n v="2"/>
    <n v="1"/>
    <n v="3"/>
    <s v="Croatia"/>
    <s v="Stade de France"/>
    <s v="Saint-Denis"/>
    <s v="France"/>
    <d v="1998-07-08T00:00:00"/>
    <s v=""/>
  </r>
  <r>
    <x v="15"/>
    <x v="1"/>
    <s v="Brazil"/>
    <n v="1"/>
    <n v="1"/>
    <n v="2"/>
    <s v="Netherlands"/>
    <s v="Stade Vélodrome"/>
    <s v="Marseille"/>
    <s v="France"/>
    <d v="1998-07-07T00:00:00"/>
    <s v="Brazil win 4-2 pens"/>
  </r>
  <r>
    <x v="15"/>
    <x v="5"/>
    <s v="Croatia"/>
    <n v="2"/>
    <n v="1"/>
    <n v="3"/>
    <s v="Netherlands"/>
    <s v="Parc des Princes"/>
    <s v="Paris"/>
    <s v="France"/>
    <d v="1998-07-11T00:00:00"/>
    <s v=""/>
  </r>
  <r>
    <x v="15"/>
    <x v="2"/>
    <s v="France"/>
    <n v="3"/>
    <n v="0"/>
    <n v="3"/>
    <s v="Brazil"/>
    <s v="Stade de France"/>
    <s v="Saint-Denis"/>
    <s v="France"/>
    <d v="1998-07-12T00:00:00"/>
    <s v="Ronaldo fit? France dominate"/>
  </r>
  <r>
    <x v="16"/>
    <x v="0"/>
    <s v="Senegal"/>
    <n v="1"/>
    <n v="0"/>
    <n v="1"/>
    <s v="France"/>
    <s v="Seoul World Cup Stadium"/>
    <s v="Seoul"/>
    <s v="South Korea"/>
    <d v="2002-05-31T00:00:00"/>
    <s v="Defending champions out in groups"/>
  </r>
  <r>
    <x v="16"/>
    <x v="0"/>
    <s v="South Korea"/>
    <n v="2"/>
    <n v="0"/>
    <n v="2"/>
    <s v="Portugal"/>
    <s v="Suwon World Cup Stadium"/>
    <s v="Suwon"/>
    <s v="South Korea"/>
    <d v="2002-06-14T00:00:00"/>
    <s v=""/>
  </r>
  <r>
    <x v="16"/>
    <x v="3"/>
    <s v="South Korea"/>
    <n v="2"/>
    <n v="1"/>
    <n v="3"/>
    <s v="Italy"/>
    <s v="Daejeon World Cup Stadium"/>
    <s v="Daejeon"/>
    <s v="South Korea"/>
    <d v="2002-06-18T00:00:00"/>
    <s v="AET - Ahn golden goal"/>
  </r>
  <r>
    <x v="16"/>
    <x v="4"/>
    <s v="South Korea"/>
    <n v="0"/>
    <n v="0"/>
    <n v="0"/>
    <s v="Spain"/>
    <s v="Gwangju World Cup Stadium"/>
    <s v="Gwangju"/>
    <s v="South Korea"/>
    <d v="2002-06-22T00:00:00"/>
    <s v="South Korea win 5-3 pens"/>
  </r>
  <r>
    <x v="16"/>
    <x v="4"/>
    <s v="Brazil"/>
    <n v="2"/>
    <n v="1"/>
    <n v="3"/>
    <s v="England"/>
    <s v="Shizuoka Stadium"/>
    <s v="Shizuoka"/>
    <s v="Japan"/>
    <d v="2002-06-21T00:00:00"/>
    <s v="Ronaldinho free kick"/>
  </r>
  <r>
    <x v="16"/>
    <x v="1"/>
    <s v="Brazil"/>
    <n v="1"/>
    <n v="0"/>
    <n v="1"/>
    <s v="Turkey"/>
    <s v="Saitama Stadium"/>
    <s v="Saitama"/>
    <s v="Japan"/>
    <d v="2002-06-26T00:00:00"/>
    <s v=""/>
  </r>
  <r>
    <x v="16"/>
    <x v="1"/>
    <s v="Germany"/>
    <n v="1"/>
    <n v="0"/>
    <n v="1"/>
    <s v="South Korea"/>
    <s v="Seoul World Cup Stadium"/>
    <s v="Seoul"/>
    <s v="South Korea"/>
    <d v="2002-06-25T00:00:00"/>
    <s v=""/>
  </r>
  <r>
    <x v="16"/>
    <x v="5"/>
    <s v="Turkey"/>
    <n v="3"/>
    <n v="2"/>
    <n v="5"/>
    <s v="South Korea"/>
    <s v="Daegu World Cup Stadium"/>
    <s v="Daegu"/>
    <s v="South Korea"/>
    <d v="2002-06-29T00:00:00"/>
    <s v=""/>
  </r>
  <r>
    <x v="16"/>
    <x v="2"/>
    <s v="Brazil"/>
    <n v="2"/>
    <n v="0"/>
    <n v="2"/>
    <s v="Germany"/>
    <s v="Yokohama International"/>
    <s v="Yokohama"/>
    <s v="Japan"/>
    <d v="2002-06-30T00:00:00"/>
    <s v="Ronaldo 2 goals"/>
  </r>
  <r>
    <x v="17"/>
    <x v="0"/>
    <s v="Germany"/>
    <n v="4"/>
    <n v="2"/>
    <n v="6"/>
    <s v="Costa Rica"/>
    <s v="Allianz Arena"/>
    <s v="Munich"/>
    <s v="Germany"/>
    <d v="2006-06-09T00:00:00"/>
    <s v="Opening match"/>
  </r>
  <r>
    <x v="17"/>
    <x v="0"/>
    <s v="Australia"/>
    <n v="3"/>
    <n v="1"/>
    <n v="4"/>
    <s v="Japan"/>
    <s v="Fritz Walter Stadion"/>
    <s v="Kaiserslautern"/>
    <s v="Germany"/>
    <d v="2006-06-12T00:00:00"/>
    <s v=""/>
  </r>
  <r>
    <x v="17"/>
    <x v="3"/>
    <s v="Italy"/>
    <n v="1"/>
    <n v="0"/>
    <n v="1"/>
    <s v="Australia"/>
    <s v="Fritz Walter Stadion"/>
    <s v="Kaiserslautern"/>
    <s v="Germany"/>
    <d v="2006-06-26T00:00:00"/>
    <s v="AET Totti pen"/>
  </r>
  <r>
    <x v="17"/>
    <x v="3"/>
    <s v="Portugal"/>
    <n v="1"/>
    <n v="0"/>
    <n v="1"/>
    <s v="Netherlands"/>
    <s v="Allianz Arena"/>
    <s v="Nuremberg"/>
    <s v="Germany"/>
    <d v="2006-06-25T00:00:00"/>
    <s v="Battle of Nuremberg - 4 red cards"/>
  </r>
  <r>
    <x v="17"/>
    <x v="4"/>
    <s v="Italy"/>
    <n v="3"/>
    <n v="0"/>
    <n v="3"/>
    <s v="Ukraine"/>
    <s v="Olympiastadion"/>
    <s v="Hamburg"/>
    <s v="Germany"/>
    <d v="2006-06-30T00:00:00"/>
    <s v="Toni 2 goals"/>
  </r>
  <r>
    <x v="17"/>
    <x v="4"/>
    <s v="Germany"/>
    <n v="1"/>
    <n v="1"/>
    <n v="2"/>
    <s v="Argentina"/>
    <s v="Olympiastadion"/>
    <s v="Berlin"/>
    <s v="Germany"/>
    <d v="2006-06-30T00:00:00"/>
    <s v="Germany win 4-2 pens"/>
  </r>
  <r>
    <x v="17"/>
    <x v="1"/>
    <s v="Italy"/>
    <n v="2"/>
    <n v="0"/>
    <n v="2"/>
    <s v="Germany"/>
    <s v="Signal Iduna Park"/>
    <s v="Dortmund"/>
    <s v="Germany"/>
    <d v="2006-07-04T00:00:00"/>
    <s v="Grosso + Del Piero AET injury time"/>
  </r>
  <r>
    <x v="17"/>
    <x v="1"/>
    <s v="Portugal"/>
    <n v="0"/>
    <n v="1"/>
    <n v="1"/>
    <s v="France"/>
    <s v="Allianz Arena"/>
    <s v="Munich"/>
    <s v="Germany"/>
    <d v="2006-07-05T00:00:00"/>
    <s v="Zidane pen"/>
  </r>
  <r>
    <x v="17"/>
    <x v="5"/>
    <s v="Germany"/>
    <n v="3"/>
    <n v="1"/>
    <n v="4"/>
    <s v="Portugal"/>
    <s v="Gottlieb-Daimler-Stadion"/>
    <s v="Stuttgart"/>
    <s v="Germany"/>
    <d v="2006-07-08T00:00:00"/>
    <s v=""/>
  </r>
  <r>
    <x v="17"/>
    <x v="2"/>
    <s v="Italy"/>
    <n v="1"/>
    <n v="1"/>
    <n v="2"/>
    <s v="France"/>
    <s v="Olympiastadion"/>
    <s v="Berlin"/>
    <s v="Germany"/>
    <d v="2006-07-09T00:00:00"/>
    <s v="Zidane headbutt - Italy win 5-3 pens"/>
  </r>
  <r>
    <x v="18"/>
    <x v="0"/>
    <s v="South Africa"/>
    <n v="1"/>
    <n v="1"/>
    <n v="2"/>
    <s v="Mexico"/>
    <s v="Soccer City"/>
    <s v="Johannesburg"/>
    <s v="South Africa"/>
    <d v="2010-06-11T00:00:00"/>
    <s v="First WC in Africa"/>
  </r>
  <r>
    <x v="18"/>
    <x v="0"/>
    <s v="England"/>
    <n v="1"/>
    <n v="1"/>
    <n v="2"/>
    <s v="USA"/>
    <s v="Royal Bafokeng"/>
    <s v="Rustenburg"/>
    <s v="South Africa"/>
    <d v="2010-06-12T00:00:00"/>
    <s v="Green howler"/>
  </r>
  <r>
    <x v="18"/>
    <x v="0"/>
    <s v="Germany"/>
    <n v="4"/>
    <n v="0"/>
    <n v="4"/>
    <s v="Australia"/>
    <s v="Moses Mabhida"/>
    <s v="Durban"/>
    <s v="South Africa"/>
    <d v="2010-06-13T00:00:00"/>
    <s v=""/>
  </r>
  <r>
    <x v="18"/>
    <x v="3"/>
    <s v="USA"/>
    <n v="1"/>
    <n v="2"/>
    <n v="3"/>
    <s v="Ghana"/>
    <s v="Royal Bafokeng"/>
    <s v="Rustenburg"/>
    <s v="South Africa"/>
    <d v="2010-06-26T00:00:00"/>
    <s v="AET"/>
  </r>
  <r>
    <x v="18"/>
    <x v="3"/>
    <s v="England"/>
    <n v="1"/>
    <n v="4"/>
    <n v="5"/>
    <s v="Germany"/>
    <s v="Free State Stadium"/>
    <s v="Bloemfontein"/>
    <s v="South Africa"/>
    <d v="2010-06-27T00:00:00"/>
    <s v="Lampard ghost goal"/>
  </r>
  <r>
    <x v="18"/>
    <x v="4"/>
    <s v="Argentina"/>
    <n v="0"/>
    <n v="4"/>
    <n v="4"/>
    <s v="Germany"/>
    <s v="Cape Town Stadium"/>
    <s v="Cape Town"/>
    <s v="South Africa"/>
    <d v="2010-07-03T00:00:00"/>
    <s v=""/>
  </r>
  <r>
    <x v="18"/>
    <x v="4"/>
    <s v="Netherlands"/>
    <n v="2"/>
    <n v="1"/>
    <n v="3"/>
    <s v="Brazil"/>
    <s v="Nelson Mandela Bay"/>
    <s v="Port Elizabeth"/>
    <s v="South Africa"/>
    <d v="2010-07-02T00:00:00"/>
    <s v="Robben goal"/>
  </r>
  <r>
    <x v="18"/>
    <x v="1"/>
    <s v="Netherlands"/>
    <n v="3"/>
    <n v="2"/>
    <n v="5"/>
    <s v="Uruguay"/>
    <s v="Cape Town Stadium"/>
    <s v="Cape Town"/>
    <s v="South Africa"/>
    <d v="2010-07-06T00:00:00"/>
    <s v=""/>
  </r>
  <r>
    <x v="18"/>
    <x v="1"/>
    <s v="Spain"/>
    <n v="1"/>
    <n v="0"/>
    <n v="1"/>
    <s v="Germany"/>
    <s v="Moses Mabhida"/>
    <s v="Durban"/>
    <s v="South Africa"/>
    <d v="2010-07-07T00:00:00"/>
    <s v="Puyol header"/>
  </r>
  <r>
    <x v="18"/>
    <x v="5"/>
    <s v="Uruguay"/>
    <n v="2"/>
    <n v="3"/>
    <n v="5"/>
    <s v="Germany"/>
    <s v="Nelson Mandela Bay"/>
    <s v="Port Elizabeth"/>
    <s v="South Africa"/>
    <d v="2010-07-10T00:00:00"/>
    <s v="Forlan Golden Ball"/>
  </r>
  <r>
    <x v="18"/>
    <x v="2"/>
    <s v="Spain"/>
    <n v="1"/>
    <n v="0"/>
    <n v="1"/>
    <s v="Netherlands"/>
    <s v="Soccer City"/>
    <s v="Johannesburg"/>
    <s v="South Africa"/>
    <d v="2010-07-11T00:00:00"/>
    <s v="AET - Iniesta"/>
  </r>
  <r>
    <x v="19"/>
    <x v="0"/>
    <s v="Brazil"/>
    <n v="3"/>
    <n v="1"/>
    <n v="4"/>
    <s v="Croatia"/>
    <s v="Arena de São Paulo"/>
    <s v="São Paulo"/>
    <s v="Brazil"/>
    <d v="2014-06-12T00:00:00"/>
    <s v="Opening - OG + Neymar 2"/>
  </r>
  <r>
    <x v="19"/>
    <x v="0"/>
    <s v="Spain"/>
    <n v="1"/>
    <n v="5"/>
    <n v="6"/>
    <s v="Netherlands"/>
    <s v="Arena Fonte Nova"/>
    <s v="Salvador"/>
    <s v="Brazil"/>
    <d v="2014-06-13T00:00:00"/>
    <s v="Defending champs thrashed"/>
  </r>
  <r>
    <x v="19"/>
    <x v="0"/>
    <s v="Uruguay"/>
    <n v="2"/>
    <n v="1"/>
    <n v="3"/>
    <s v="England"/>
    <s v="Arena Corinthians"/>
    <s v="São Paulo"/>
    <s v="Brazil"/>
    <d v="2014-06-19T00:00:00"/>
    <s v="Suárez 2"/>
  </r>
  <r>
    <x v="19"/>
    <x v="3"/>
    <s v="Colombia"/>
    <n v="2"/>
    <n v="0"/>
    <n v="2"/>
    <s v="Uruguay"/>
    <s v="Maracanã"/>
    <s v="Rio de Janeiro"/>
    <s v="Brazil"/>
    <d v="2014-06-28T00:00:00"/>
    <s v="Suárez bites Chiellini"/>
  </r>
  <r>
    <x v="19"/>
    <x v="3"/>
    <s v="Germany"/>
    <n v="2"/>
    <n v="1"/>
    <n v="3"/>
    <s v="Algeria"/>
    <s v="Estadio Beira-Rio"/>
    <s v="Porto Alegre"/>
    <s v="Brazil"/>
    <d v="2014-06-30T00:00:00"/>
    <s v="AET"/>
  </r>
  <r>
    <x v="19"/>
    <x v="4"/>
    <s v="Argentina"/>
    <n v="0"/>
    <n v="0"/>
    <n v="0"/>
    <s v="Belgium"/>
    <s v="Estadio Nacional"/>
    <s v="Brasília"/>
    <s v="Brazil"/>
    <d v="2014-07-05T00:00:00"/>
    <s v="Higuaín - Argentina win 1-0"/>
  </r>
  <r>
    <x v="19"/>
    <x v="4"/>
    <s v="Germany"/>
    <n v="1"/>
    <n v="0"/>
    <n v="1"/>
    <s v="France"/>
    <s v="Maracanã"/>
    <s v="Rio de Janeiro"/>
    <s v="Brazil"/>
    <d v="2014-07-04T00:00:00"/>
    <s v="Hummels header"/>
  </r>
  <r>
    <x v="19"/>
    <x v="1"/>
    <s v="Brazil"/>
    <n v="1"/>
    <n v="7"/>
    <n v="8"/>
    <s v="Germany"/>
    <s v="Estadio Mineirão"/>
    <s v="Belo Horizonte"/>
    <s v="Brazil"/>
    <d v="2014-07-08T00:00:00"/>
    <s v="Mineirazo - biggest WC shock"/>
  </r>
  <r>
    <x v="19"/>
    <x v="1"/>
    <s v="Argentina"/>
    <n v="0"/>
    <n v="0"/>
    <n v="0"/>
    <s v="Netherlands"/>
    <s v="Arena Corinthians"/>
    <s v="São Paulo"/>
    <s v="Brazil"/>
    <d v="2014-07-09T00:00:00"/>
    <s v="Argentina win 4-2 pens"/>
  </r>
  <r>
    <x v="19"/>
    <x v="5"/>
    <s v="Brazil"/>
    <n v="0"/>
    <n v="3"/>
    <n v="3"/>
    <s v="Netherlands"/>
    <s v="Estadio Nacional"/>
    <s v="Brasília"/>
    <s v="Brazil"/>
    <d v="2014-07-12T00:00:00"/>
    <s v=""/>
  </r>
  <r>
    <x v="19"/>
    <x v="2"/>
    <s v="Germany"/>
    <n v="1"/>
    <n v="0"/>
    <n v="1"/>
    <s v="Argentina"/>
    <s v="Maracanã"/>
    <s v="Rio de Janeiro"/>
    <s v="Brazil"/>
    <d v="2014-07-13T00:00:00"/>
    <s v="AET - Götze 113th min"/>
  </r>
  <r>
    <x v="20"/>
    <x v="0"/>
    <s v="Russia"/>
    <n v="5"/>
    <n v="0"/>
    <n v="5"/>
    <s v="Saudi Arabia"/>
    <s v="Luzhniki"/>
    <s v="Moscow"/>
    <s v="Russia"/>
    <d v="2018-06-14T00:00:00"/>
    <s v="Opening match"/>
  </r>
  <r>
    <x v="20"/>
    <x v="0"/>
    <s v="Germany"/>
    <n v="0"/>
    <n v="1"/>
    <n v="1"/>
    <s v="Mexico"/>
    <s v="Luzhniki"/>
    <s v="Moscow"/>
    <s v="Russia"/>
    <d v="2018-06-17T00:00:00"/>
    <s v="Defending champs shocked"/>
  </r>
  <r>
    <x v="20"/>
    <x v="0"/>
    <s v="Spain"/>
    <n v="3"/>
    <n v="3"/>
    <n v="6"/>
    <s v="Portugal"/>
    <s v="Fisht Olympic"/>
    <s v="Sochi"/>
    <s v="Russia"/>
    <d v="2018-06-15T00:00:00"/>
    <s v="Ronaldo hat-trick"/>
  </r>
  <r>
    <x v="20"/>
    <x v="3"/>
    <s v="Argentina"/>
    <n v="1"/>
    <n v="3"/>
    <n v="4"/>
    <s v="France"/>
    <s v="Kazan Arena"/>
    <s v="Kazan"/>
    <s v="Russia"/>
    <d v="2018-06-30T00:00:00"/>
    <s v="Mbappé double - Pavard screamer"/>
  </r>
  <r>
    <x v="20"/>
    <x v="3"/>
    <s v="Spain"/>
    <n v="1"/>
    <n v="1"/>
    <n v="2"/>
    <s v="Russia"/>
    <s v="Luzhniki"/>
    <s v="Moscow"/>
    <s v="Russia"/>
    <d v="2018-07-01T00:00:00"/>
    <s v="Russia win 4-3 pens"/>
  </r>
  <r>
    <x v="20"/>
    <x v="3"/>
    <s v="Brazil"/>
    <n v="2"/>
    <n v="0"/>
    <n v="2"/>
    <s v="Mexico"/>
    <s v="Samara Arena"/>
    <s v="Samara"/>
    <s v="Russia"/>
    <d v="2018-07-02T00:00:00"/>
    <s v="Neymar + Firmino"/>
  </r>
  <r>
    <x v="20"/>
    <x v="4"/>
    <s v="Russia"/>
    <n v="2"/>
    <n v="2"/>
    <n v="4"/>
    <s v="Croatia"/>
    <s v="Fisht Olympic"/>
    <s v="Sochi"/>
    <s v="Russia"/>
    <d v="2018-07-07T00:00:00"/>
    <s v="Croatia win 4-3 pens"/>
  </r>
  <r>
    <x v="20"/>
    <x v="4"/>
    <s v="Belgium"/>
    <n v="2"/>
    <n v="1"/>
    <n v="3"/>
    <s v="Brazil"/>
    <s v="Kazan Arena"/>
    <s v="Kazan"/>
    <s v="Russia"/>
    <d v="2018-07-06T00:00:00"/>
    <s v="De Bruyne assist + Chadli goal"/>
  </r>
  <r>
    <x v="20"/>
    <x v="1"/>
    <s v="France"/>
    <n v="1"/>
    <n v="0"/>
    <n v="1"/>
    <s v="Belgium"/>
    <s v="Saint Petersburg"/>
    <s v="St Petersburg"/>
    <s v="Russia"/>
    <d v="2018-07-10T00:00:00"/>
    <s v="Umtiti header"/>
  </r>
  <r>
    <x v="20"/>
    <x v="1"/>
    <s v="Croatia"/>
    <n v="2"/>
    <n v="1"/>
    <n v="3"/>
    <s v="England"/>
    <s v="Luzhniki"/>
    <s v="Moscow"/>
    <s v="Russia"/>
    <d v="2018-07-11T00:00:00"/>
    <s v="AET - Mandzukic"/>
  </r>
  <r>
    <x v="20"/>
    <x v="5"/>
    <s v="Belgium"/>
    <n v="2"/>
    <n v="0"/>
    <n v="2"/>
    <s v="England"/>
    <s v="Saint Petersburg"/>
    <s v="St Petersburg"/>
    <s v="Russia"/>
    <d v="2018-07-14T00:00:00"/>
    <s v=""/>
  </r>
  <r>
    <x v="20"/>
    <x v="2"/>
    <s v="France"/>
    <n v="4"/>
    <n v="2"/>
    <n v="6"/>
    <s v="Croatia"/>
    <s v="Luzhniki"/>
    <s v="Moscow"/>
    <s v="Russia"/>
    <d v="2018-07-15T00:00:00"/>
    <s v="Mbappé scores - youngest since Pelé"/>
  </r>
  <r>
    <x v="21"/>
    <x v="0"/>
    <s v="Qatar"/>
    <n v="0"/>
    <n v="2"/>
    <n v="2"/>
    <s v="Ecuador"/>
    <s v="Al Bayt Stadium"/>
    <s v="Al Khor"/>
    <s v="Qatar"/>
    <d v="2022-11-20T00:00:00"/>
    <s v="Opening match - Qatar humbled at home"/>
  </r>
  <r>
    <x v="21"/>
    <x v="0"/>
    <s v="Saudi Arabia"/>
    <n v="2"/>
    <n v="1"/>
    <n v="3"/>
    <s v="Argentina"/>
    <s v="Lusail Stadium"/>
    <s v="Lusail"/>
    <s v="Qatar"/>
    <d v="2022-11-22T00:00:00"/>
    <s v="Biggest WC upset 2022"/>
  </r>
  <r>
    <x v="21"/>
    <x v="0"/>
    <s v="Germany"/>
    <n v="1"/>
    <n v="2"/>
    <n v="3"/>
    <s v="Japan"/>
    <s v="Khalifa International"/>
    <s v="Al Rayyan"/>
    <s v="Qatar"/>
    <d v="2022-11-23T00:00:00"/>
    <s v=""/>
  </r>
  <r>
    <x v="21"/>
    <x v="0"/>
    <s v="Spain"/>
    <n v="1"/>
    <n v="2"/>
    <n v="3"/>
    <s v="Japan"/>
    <s v="Khalifa International"/>
    <s v="Al Rayyan"/>
    <s v="Qatar"/>
    <d v="2022-12-01T00:00:00"/>
    <s v=""/>
  </r>
  <r>
    <x v="21"/>
    <x v="0"/>
    <s v="Germany"/>
    <n v="4"/>
    <n v="2"/>
    <n v="6"/>
    <s v="Costa Rica"/>
    <s v="Al Bayt Stadium"/>
    <s v="Al Khor"/>
    <s v="Qatar"/>
    <d v="2022-12-01T00:00:00"/>
    <s v="Germany out despite winning"/>
  </r>
  <r>
    <x v="21"/>
    <x v="3"/>
    <s v="Morocco"/>
    <n v="0"/>
    <n v="0"/>
    <n v="0"/>
    <s v="Spain"/>
    <s v="Education City Stadium"/>
    <s v="Al Rayyan"/>
    <s v="Qatar"/>
    <d v="2022-12-06T00:00:00"/>
    <s v="Morocco win 3-0 pens"/>
  </r>
  <r>
    <x v="21"/>
    <x v="3"/>
    <s v="France"/>
    <n v="3"/>
    <n v="1"/>
    <n v="4"/>
    <s v="Poland"/>
    <s v="Al Thumama Stadium"/>
    <s v="Doha"/>
    <s v="Qatar"/>
    <d v="2022-12-04T00:00:00"/>
    <s v="Mbappé double"/>
  </r>
  <r>
    <x v="21"/>
    <x v="3"/>
    <s v="Netherlands"/>
    <n v="3"/>
    <n v="1"/>
    <n v="4"/>
    <s v="USA"/>
    <s v="Khalifa International"/>
    <s v="Al Rayyan"/>
    <s v="Qatar"/>
    <d v="2022-12-03T00:00:00"/>
    <s v=""/>
  </r>
  <r>
    <x v="21"/>
    <x v="4"/>
    <s v="Morocco"/>
    <n v="1"/>
    <n v="0"/>
    <n v="1"/>
    <s v="Portugal"/>
    <s v="Al Thumama Stadium"/>
    <s v="Doha"/>
    <s v="Qatar"/>
    <d v="2022-12-10T00:00:00"/>
    <s v="En-Nesyri - historic"/>
  </r>
  <r>
    <x v="21"/>
    <x v="4"/>
    <s v="France"/>
    <n v="2"/>
    <n v="1"/>
    <n v="3"/>
    <s v="England"/>
    <s v="Al Bayt Stadium"/>
    <s v="Al Khor"/>
    <s v="Qatar"/>
    <d v="2022-12-10T00:00:00"/>
    <s v="Kane pen miss"/>
  </r>
  <r>
    <x v="21"/>
    <x v="1"/>
    <s v="Argentina"/>
    <n v="3"/>
    <n v="0"/>
    <n v="3"/>
    <s v="Croatia"/>
    <s v="Lusail Stadium"/>
    <s v="Lusail"/>
    <s v="Qatar"/>
    <d v="2022-12-13T00:00:00"/>
    <s v="Messi pen + Álvarez 2"/>
  </r>
  <r>
    <x v="21"/>
    <x v="1"/>
    <s v="France"/>
    <n v="2"/>
    <n v="0"/>
    <n v="2"/>
    <s v="Morocco"/>
    <s v="Al Bayt Stadium"/>
    <s v="Al Khor"/>
    <s v="Qatar"/>
    <d v="2022-12-14T00:00:00"/>
    <s v=""/>
  </r>
  <r>
    <x v="21"/>
    <x v="5"/>
    <s v="Croatia"/>
    <n v="2"/>
    <n v="1"/>
    <n v="3"/>
    <s v="Morocco"/>
    <s v="Khalifa International"/>
    <s v="Al Rayyan"/>
    <s v="Qatar"/>
    <d v="2022-12-17T00:00:00"/>
    <s v=""/>
  </r>
  <r>
    <x v="21"/>
    <x v="2"/>
    <s v="Argentina"/>
    <n v="3"/>
    <n v="3"/>
    <n v="6"/>
    <s v="France"/>
    <s v="Lusail Stadium"/>
    <s v="Lusail"/>
    <s v="Qatar"/>
    <d v="2022-12-18T00:00:00"/>
    <s v="AET - Argentina win 4-2 pens - GOAT fin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x v="0"/>
    <x v="0"/>
    <x v="0"/>
    <s v="FW"/>
    <n v="8"/>
    <n v="0"/>
    <n v="0"/>
    <n v="4"/>
    <s v="Uruguay"/>
    <s v="Champions"/>
  </r>
  <r>
    <n v="2"/>
    <x v="1"/>
    <x v="1"/>
    <x v="1"/>
    <s v="FW"/>
    <n v="5"/>
    <n v="0"/>
    <n v="0"/>
    <n v="4"/>
    <s v="Italy"/>
    <s v="Semi-final"/>
  </r>
  <r>
    <n v="3"/>
    <x v="2"/>
    <x v="2"/>
    <x v="2"/>
    <s v="FW"/>
    <n v="7"/>
    <n v="0"/>
    <n v="0"/>
    <n v="5"/>
    <s v="France"/>
    <s v="Third place"/>
  </r>
  <r>
    <n v="4"/>
    <x v="3"/>
    <x v="3"/>
    <x v="2"/>
    <s v="FW"/>
    <n v="8"/>
    <n v="0"/>
    <n v="0"/>
    <n v="6"/>
    <s v="Brazil"/>
    <s v="Runner-up"/>
  </r>
  <r>
    <n v="5"/>
    <x v="4"/>
    <x v="4"/>
    <x v="3"/>
    <s v="FW"/>
    <n v="11"/>
    <n v="0"/>
    <n v="0"/>
    <n v="5"/>
    <s v="Switzerland"/>
    <s v="Runner-up"/>
  </r>
  <r>
    <n v="6"/>
    <x v="5"/>
    <x v="5"/>
    <x v="4"/>
    <s v="FW"/>
    <n v="13"/>
    <n v="0"/>
    <n v="0"/>
    <n v="6"/>
    <s v="Sweden"/>
    <s v="Third place"/>
  </r>
  <r>
    <n v="7"/>
    <x v="6"/>
    <x v="6"/>
    <x v="5"/>
    <s v="FW"/>
    <n v="4"/>
    <n v="0"/>
    <n v="0"/>
    <n v="6"/>
    <s v="Chile"/>
    <s v="Varies"/>
  </r>
  <r>
    <n v="8"/>
    <x v="7"/>
    <x v="7"/>
    <x v="6"/>
    <s v="FW"/>
    <n v="9"/>
    <n v="0"/>
    <n v="0"/>
    <n v="6"/>
    <s v="England"/>
    <s v="Third place"/>
  </r>
  <r>
    <n v="9"/>
    <x v="8"/>
    <x v="8"/>
    <x v="7"/>
    <s v="FW"/>
    <n v="10"/>
    <n v="0"/>
    <n v="0"/>
    <n v="6"/>
    <s v="Mexico"/>
    <s v="Third place"/>
  </r>
  <r>
    <n v="10"/>
    <x v="9"/>
    <x v="9"/>
    <x v="8"/>
    <s v="FW"/>
    <n v="7"/>
    <n v="0"/>
    <n v="0"/>
    <n v="7"/>
    <s v="West Germany"/>
    <s v="Third place"/>
  </r>
  <r>
    <n v="11"/>
    <x v="10"/>
    <x v="10"/>
    <x v="0"/>
    <s v="FW"/>
    <n v="6"/>
    <n v="0"/>
    <n v="0"/>
    <n v="7"/>
    <s v="Argentina"/>
    <s v="Champions"/>
  </r>
  <r>
    <n v="12"/>
    <x v="11"/>
    <x v="11"/>
    <x v="9"/>
    <s v="FW"/>
    <n v="6"/>
    <n v="0"/>
    <n v="0"/>
    <n v="7"/>
    <s v="Spain"/>
    <s v="Champions"/>
  </r>
  <r>
    <n v="13"/>
    <x v="12"/>
    <x v="12"/>
    <x v="10"/>
    <s v="FW"/>
    <n v="6"/>
    <n v="0"/>
    <n v="0"/>
    <n v="5"/>
    <s v="Mexico"/>
    <s v="Quarter-final"/>
  </r>
  <r>
    <n v="14"/>
    <x v="13"/>
    <x v="13"/>
    <x v="9"/>
    <s v="FW"/>
    <n v="6"/>
    <n v="0"/>
    <n v="0"/>
    <n v="7"/>
    <s v="Italy"/>
    <s v="Third place"/>
  </r>
  <r>
    <n v="15"/>
    <x v="14"/>
    <x v="14"/>
    <x v="11"/>
    <s v="FW"/>
    <n v="6"/>
    <n v="0"/>
    <n v="0"/>
    <n v="6"/>
    <s v="United States"/>
    <s v="Semi-final"/>
  </r>
  <r>
    <n v="16"/>
    <x v="15"/>
    <x v="15"/>
    <x v="12"/>
    <s v="FW"/>
    <n v="6"/>
    <n v="0"/>
    <n v="0"/>
    <n v="6"/>
    <s v="France"/>
    <s v="Third place"/>
  </r>
  <r>
    <n v="17"/>
    <x v="16"/>
    <x v="16"/>
    <x v="2"/>
    <s v="FW"/>
    <n v="8"/>
    <n v="0"/>
    <n v="0"/>
    <n v="7"/>
    <s v="South Korea/Japan"/>
    <s v="Champions"/>
  </r>
  <r>
    <n v="18"/>
    <x v="17"/>
    <x v="17"/>
    <x v="13"/>
    <s v="FW"/>
    <n v="5"/>
    <n v="0"/>
    <n v="0"/>
    <n v="7"/>
    <s v="Germany"/>
    <s v="Third place"/>
  </r>
  <r>
    <n v="19"/>
    <x v="18"/>
    <x v="18"/>
    <x v="13"/>
    <s v="FW"/>
    <n v="5"/>
    <n v="3"/>
    <n v="0"/>
    <n v="6"/>
    <s v="South Africa"/>
    <s v="Third place"/>
  </r>
  <r>
    <n v="20"/>
    <x v="19"/>
    <x v="19"/>
    <x v="14"/>
    <s v="FW"/>
    <n v="6"/>
    <n v="2"/>
    <n v="0"/>
    <n v="5"/>
    <s v="Brazil"/>
    <s v="Quarter-final"/>
  </r>
  <r>
    <n v="21"/>
    <x v="20"/>
    <x v="20"/>
    <x v="10"/>
    <s v="FW"/>
    <n v="6"/>
    <n v="0"/>
    <n v="0"/>
    <n v="6"/>
    <s v="Russia"/>
    <s v="Fourth place"/>
  </r>
  <r>
    <n v="22"/>
    <x v="21"/>
    <x v="21"/>
    <x v="4"/>
    <s v="FW"/>
    <n v="8"/>
    <n v="2"/>
    <n v="0"/>
    <n v="7"/>
    <s v="Qatar"/>
    <s v="Runner-u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C6BCD-7B8E-407C-9CE6-2CBCF1E2C6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/>
  <pivotFields count="12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>
      <items count="9">
        <item x="5"/>
        <item x="2"/>
        <item x="6"/>
        <item x="0"/>
        <item x="4"/>
        <item x="3"/>
        <item x="1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ge" fld="1" subtotal="count" baseField="0" baseItem="0"/>
    <dataField name="Sum of Total Goa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D0050-7C19-48AA-BAE3-FACC91253B6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11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23">
        <item x="3"/>
        <item x="15"/>
        <item x="7"/>
        <item x="12"/>
        <item x="8"/>
        <item x="9"/>
        <item x="0"/>
        <item x="20"/>
        <item x="14"/>
        <item x="19"/>
        <item x="5"/>
        <item x="21"/>
        <item x="2"/>
        <item x="10"/>
        <item x="17"/>
        <item x="6"/>
        <item x="1"/>
        <item x="11"/>
        <item x="16"/>
        <item x="13"/>
        <item x="4"/>
        <item x="18"/>
        <item t="default"/>
      </items>
    </pivotField>
    <pivotField showAll="0">
      <items count="16">
        <item x="0"/>
        <item x="2"/>
        <item x="11"/>
        <item x="14"/>
        <item x="12"/>
        <item x="1"/>
        <item x="10"/>
        <item x="4"/>
        <item x="13"/>
        <item x="3"/>
        <item x="9"/>
        <item x="5"/>
        <item x="8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goa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960623-7CDE-4613-BC43-4518C3F06E3A}" autoFormatId="16" applyNumberFormats="0" applyBorderFormats="0" applyFontFormats="0" applyPatternFormats="0" applyAlignmentFormats="0" applyWidthHeightFormats="0">
  <queryTableRefresh nextId="16">
    <queryTableFields count="15">
      <queryTableField id="1" name="group" tableColumnId="1"/>
      <queryTableField id="2" name="stage" tableColumnId="2"/>
      <queryTableField id="3" name="team1" tableColumnId="3"/>
      <queryTableField id="4" name="team2" tableColumnId="4"/>
      <queryTableField id="5" name="venue" tableColumnId="5"/>
      <queryTableField id="6" name="city" tableColumnId="6"/>
      <queryTableField id="7" name="country" tableColumnId="7"/>
      <queryTableField id="8" name="date" tableColumnId="8"/>
      <queryTableField id="9" name="kickoff_et" tableColumnId="9"/>
      <queryTableField id="10" name="team1_confederation" tableColumnId="10"/>
      <queryTableField id="11" name="team1_fifa_rank" tableColumnId="11"/>
      <queryTableField id="12" name="team1_coach" tableColumnId="12"/>
      <queryTableField id="13" name="team2_confederation" tableColumnId="13"/>
      <queryTableField id="14" name="team2_fifa_rank" tableColumnId="14"/>
      <queryTableField id="15" name="team2_coac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8DED04-E0A3-4648-A70C-7A1D3DB94A6C}" autoFormatId="16" applyNumberFormats="0" applyBorderFormats="0" applyFontFormats="0" applyPatternFormats="0" applyAlignmentFormats="0" applyWidthHeightFormats="0">
  <queryTableRefresh nextId="8">
    <queryTableFields count="7">
      <queryTableField id="1" name="team" tableColumnId="1"/>
      <queryTableField id="2" name="group" tableColumnId="2"/>
      <queryTableField id="3" name="confederation" tableColumnId="3"/>
      <queryTableField id="4" name="fifa_rank" tableColumnId="4"/>
      <queryTableField id="5" name="coach" tableColumnId="5"/>
      <queryTableField id="6" name="best_wc_result" tableColumnId="6"/>
      <queryTableField id="7" name="debut_2026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930209-40F1-4AAF-B035-E61974F68D9E}" autoFormatId="16" applyNumberFormats="0" applyBorderFormats="0" applyFontFormats="0" applyPatternFormats="0" applyAlignmentFormats="0" applyWidthHeightFormats="0">
  <queryTableRefresh nextId="23">
    <queryTableFields count="20">
      <queryTableField id="1" name="edition" tableColumnId="1"/>
      <queryTableField id="2" name="year" tableColumnId="2"/>
      <queryTableField id="3" name="host" tableColumnId="3"/>
      <queryTableField id="4" name="champion" tableColumnId="4"/>
      <queryTableField id="5" name="runner_up" tableColumnId="5"/>
      <queryTableField id="6" name="third_place" tableColumnId="6"/>
      <queryTableField id="7" name="fourth_place" tableColumnId="7"/>
      <queryTableField id="8" name="teams" tableColumnId="8"/>
      <queryTableField id="9" name="matches" tableColumnId="9"/>
      <queryTableField id="10" name="goals" tableColumnId="10"/>
      <queryTableField id="11" name="goals_per_match" tableColumnId="11"/>
      <queryTableField id="12" name="attendance" tableColumnId="12"/>
      <queryTableField id="13" name="top_scorer" tableColumnId="13"/>
      <queryTableField id="14" name="top_scorer_country" tableColumnId="14"/>
      <queryTableField id="15" name="top_scorer_goals" tableColumnId="15"/>
      <queryTableField id="16" name="start_date" tableColumnId="16"/>
      <queryTableField id="17" name="end_date" tableColumnId="17"/>
      <queryTableField id="18" name="final_city" tableColumnId="18"/>
      <queryTableField id="19" name="host_won" tableColumnId="19"/>
      <queryTableField id="20" name="format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AFFF0E4-1A9F-41BF-AD76-416FF8D98417}" autoFormatId="16" applyNumberFormats="0" applyBorderFormats="0" applyFontFormats="0" applyPatternFormats="0" applyAlignmentFormats="0" applyWidthHeightFormats="0">
  <queryTableRefresh nextId="13">
    <queryTableFields count="12">
      <queryTableField id="1" name="year" tableColumnId="1"/>
      <queryTableField id="2" name="stage" tableColumnId="2"/>
      <queryTableField id="3" name="team1" tableColumnId="3"/>
      <queryTableField id="4" name="score1" tableColumnId="4"/>
      <queryTableField id="5" name="score2" tableColumnId="5"/>
      <queryTableField id="12" dataBound="0" tableColumnId="12"/>
      <queryTableField id="6" name="team2" tableColumnId="6"/>
      <queryTableField id="7" name="venue" tableColumnId="7"/>
      <queryTableField id="8" name="city" tableColumnId="8"/>
      <queryTableField id="9" name="country" tableColumnId="9"/>
      <queryTableField id="10" name="date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579D18E-AA0F-4AF0-A4C0-82BED7C1BB0C}" autoFormatId="16" applyNumberFormats="0" applyBorderFormats="0" applyFontFormats="0" applyPatternFormats="0" applyAlignmentFormats="0" applyWidthHeightFormats="0">
  <queryTableRefresh nextId="12">
    <queryTableFields count="11">
      <queryTableField id="1" name="edition" tableColumnId="1"/>
      <queryTableField id="2" name="year" tableColumnId="2"/>
      <queryTableField id="3" name="player" tableColumnId="3"/>
      <queryTableField id="4" name="country" tableColumnId="4"/>
      <queryTableField id="5" name="position" tableColumnId="5"/>
      <queryTableField id="6" name="goals" tableColumnId="6"/>
      <queryTableField id="7" name="assists" tableColumnId="7"/>
      <queryTableField id="8" name="penalties" tableColumnId="8"/>
      <queryTableField id="9" name="matches_played" tableColumnId="9"/>
      <queryTableField id="10" name="host" tableColumnId="10"/>
      <queryTableField id="11" name="team_resul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22759-09A3-49F0-B528-1EEAD221D6B4}" name="wc_2026_fixtures" displayName="wc_2026_fixtures" ref="A1:O105" tableType="queryTable" totalsRowShown="0">
  <autoFilter ref="A1:O105" xr:uid="{99C22759-09A3-49F0-B528-1EEAD221D6B4}"/>
  <tableColumns count="15">
    <tableColumn id="1" xr3:uid="{628F55C0-2900-43F3-9661-9BAEB9885FA0}" uniqueName="1" name="group" queryTableFieldId="1" dataDxfId="44"/>
    <tableColumn id="2" xr3:uid="{7F7AAC30-3271-4EC2-B46B-E8987C8E247D}" uniqueName="2" name="stage" queryTableFieldId="2" dataDxfId="43"/>
    <tableColumn id="3" xr3:uid="{4A31B358-2AFD-45DF-A2E1-7A838FB61D7E}" uniqueName="3" name="team1" queryTableFieldId="3" dataDxfId="42"/>
    <tableColumn id="4" xr3:uid="{FF93DE00-267D-450F-879C-340AE83B8049}" uniqueName="4" name="team2" queryTableFieldId="4" dataDxfId="41"/>
    <tableColumn id="5" xr3:uid="{766B93C9-516E-42D5-8C3D-5A8321F1DC46}" uniqueName="5" name="venue" queryTableFieldId="5" dataDxfId="40"/>
    <tableColumn id="6" xr3:uid="{4919830B-D5C7-49C6-9243-586C070F6496}" uniqueName="6" name="city" queryTableFieldId="6" dataDxfId="39"/>
    <tableColumn id="7" xr3:uid="{05C9B6AB-964C-4AA8-8959-879412AAEB65}" uniqueName="7" name="country" queryTableFieldId="7" dataDxfId="38"/>
    <tableColumn id="8" xr3:uid="{91E0B85C-38F9-46AF-802E-7204A2CBF1D3}" uniqueName="8" name="date" queryTableFieldId="8" dataDxfId="37"/>
    <tableColumn id="9" xr3:uid="{5EBD747C-C31C-415C-8634-0163B6960453}" uniqueName="9" name="kickoff_et" queryTableFieldId="9" dataDxfId="36"/>
    <tableColumn id="10" xr3:uid="{A75080B9-3415-474A-AB0E-00F59135F71C}" uniqueName="10" name="team1_confederation" queryTableFieldId="10" dataDxfId="35"/>
    <tableColumn id="11" xr3:uid="{FE6CE6FF-49A5-423C-913F-787FD9E9671F}" uniqueName="11" name="team1_fifa_rank" queryTableFieldId="11"/>
    <tableColumn id="12" xr3:uid="{F1ED133F-0F72-4A16-B7D4-0555EE549DD5}" uniqueName="12" name="team1_coach" queryTableFieldId="12" dataDxfId="34"/>
    <tableColumn id="13" xr3:uid="{5BCA325B-C5F4-4CB0-993A-4E2BFE518B32}" uniqueName="13" name="team2_confederation" queryTableFieldId="13" dataDxfId="33"/>
    <tableColumn id="14" xr3:uid="{9B4B61B7-6D8F-4D91-B64A-8BF3C2C489FA}" uniqueName="14" name="team2_fifa_rank" queryTableFieldId="14"/>
    <tableColumn id="15" xr3:uid="{AFDDF525-66C0-4489-AD1B-1173C97D0184}" uniqueName="15" name="team2_coach" queryTableFieldId="15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0BF03-1778-4E35-8C94-531B06328C82}" name="wc_2026_teams" displayName="wc_2026_teams" ref="A1:G49" tableType="queryTable" totalsRowShown="0">
  <autoFilter ref="A1:G49" xr:uid="{77B0BF03-1778-4E35-8C94-531B06328C82}"/>
  <tableColumns count="7">
    <tableColumn id="1" xr3:uid="{8A4E94FF-2399-4EBB-9697-34DAD9BB7959}" uniqueName="1" name="team" queryTableFieldId="1" dataDxfId="31"/>
    <tableColumn id="2" xr3:uid="{8ED36501-549E-4216-941E-D6F54CF396FE}" uniqueName="2" name="group" queryTableFieldId="2" dataDxfId="30"/>
    <tableColumn id="3" xr3:uid="{D97D9F5F-39E7-49B4-9E2A-4F3E83901A64}" uniqueName="3" name="confederation" queryTableFieldId="3" dataDxfId="29"/>
    <tableColumn id="4" xr3:uid="{88F5D92B-F1EE-4D1A-9E9A-7740CBCE8715}" uniqueName="4" name="fifa_rank" queryTableFieldId="4"/>
    <tableColumn id="5" xr3:uid="{93A25052-2978-4025-95CC-D1F52E65A2DD}" uniqueName="5" name="coach" queryTableFieldId="5" dataDxfId="28"/>
    <tableColumn id="6" xr3:uid="{2C8C9101-118A-4CA1-A229-4FD2B24CB6F1}" uniqueName="6" name="best_wc_result" queryTableFieldId="6" dataDxfId="27"/>
    <tableColumn id="7" xr3:uid="{21B66819-4CFF-4E9E-AB49-4DAE35422804}" uniqueName="7" name="debut_2026" queryTableFieldId="7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FBB0B-20FE-4E2B-9900-B5F615B37C98}" name="wc_all_editions" displayName="wc_all_editions" ref="A1:T23" tableType="queryTable" totalsRowShown="0">
  <autoFilter ref="A1:T23" xr:uid="{C93FBB0B-20FE-4E2B-9900-B5F615B37C98}"/>
  <tableColumns count="20">
    <tableColumn id="1" xr3:uid="{F8C0603F-FC46-4DB2-B011-3DDAF198836C}" uniqueName="1" name="edition" queryTableFieldId="1"/>
    <tableColumn id="2" xr3:uid="{856521EE-D0F4-477D-862A-38E6D8A43680}" uniqueName="2" name="year" queryTableFieldId="2"/>
    <tableColumn id="3" xr3:uid="{11EFEF31-DE7D-4C02-B2F1-70D2EF3A933E}" uniqueName="3" name="host" queryTableFieldId="3" dataDxfId="25"/>
    <tableColumn id="4" xr3:uid="{2E862132-8FF5-40A8-84E8-4481E8C942B0}" uniqueName="4" name="champion" queryTableFieldId="4" dataDxfId="24"/>
    <tableColumn id="5" xr3:uid="{D9C56CDC-0869-471F-87D3-F8A9247790F4}" uniqueName="5" name="runner_up" queryTableFieldId="5" dataDxfId="23"/>
    <tableColumn id="6" xr3:uid="{BD1D8C12-F690-4C4C-819B-6E6C1F806C96}" uniqueName="6" name="third_place" queryTableFieldId="6" dataDxfId="22"/>
    <tableColumn id="7" xr3:uid="{068C4D44-9A5E-4A9D-AEB4-841AB2F8977A}" uniqueName="7" name="fourth_place" queryTableFieldId="7" dataDxfId="21"/>
    <tableColumn id="8" xr3:uid="{0913305C-C7F0-405B-BA9D-D6370B6DAD1E}" uniqueName="8" name="teams" queryTableFieldId="8"/>
    <tableColumn id="9" xr3:uid="{500217A0-B517-45C9-BA39-EA3AA00C4457}" uniqueName="9" name="matches" queryTableFieldId="9"/>
    <tableColumn id="10" xr3:uid="{38E435E9-15BB-475D-A878-1F38BC5E076F}" uniqueName="10" name="goals" queryTableFieldId="10"/>
    <tableColumn id="11" xr3:uid="{69304E8E-D115-4FB8-8D66-CC34B4E61535}" uniqueName="11" name="goals_per_match" queryTableFieldId="11"/>
    <tableColumn id="12" xr3:uid="{2E0BC89A-35F7-4C9A-8D87-008DE4F82FA5}" uniqueName="12" name="attendance" queryTableFieldId="12"/>
    <tableColumn id="13" xr3:uid="{BF64C8FA-1F6F-4A92-A622-91A9DCDB44A9}" uniqueName="13" name="top_scorer" queryTableFieldId="13" dataDxfId="20"/>
    <tableColumn id="14" xr3:uid="{4442F865-6CB5-4A91-93B8-0A01B97A5662}" uniqueName="14" name="top_scorer_country" queryTableFieldId="14" dataDxfId="19"/>
    <tableColumn id="15" xr3:uid="{A6C51CC5-A547-4299-A05B-8CAD99A4FC02}" uniqueName="15" name="top_scorer_goals" queryTableFieldId="15"/>
    <tableColumn id="16" xr3:uid="{081CEBA5-AA6C-4BAE-8C99-EEF42D58D260}" uniqueName="16" name="start_date" queryTableFieldId="16" dataDxfId="1"/>
    <tableColumn id="17" xr3:uid="{D0D9187F-605E-46B5-A0AD-439844E35A27}" uniqueName="17" name="end_date" queryTableFieldId="17" dataDxfId="18"/>
    <tableColumn id="18" xr3:uid="{9EEED3E8-BA39-4673-AD02-F22B1C46039C}" uniqueName="18" name="final_city" queryTableFieldId="18" dataDxfId="17"/>
    <tableColumn id="19" xr3:uid="{603BD739-2C87-40D2-BED0-A605DC74EFF1}" uniqueName="19" name="host_won" queryTableFieldId="19" dataDxfId="16"/>
    <tableColumn id="20" xr3:uid="{EA442D00-13E5-454D-9D57-F3E6E9ED5CC8}" uniqueName="20" name="format" queryTableFieldId="20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A49CD4-CD86-4EFC-8D7A-46197F6179CA}" name="wc_all_matches" displayName="wc_all_matches" ref="A1:L185" tableType="queryTable" totalsRowShown="0">
  <autoFilter ref="A1:L185" xr:uid="{1DA49CD4-CD86-4EFC-8D7A-46197F6179CA}"/>
  <tableColumns count="12">
    <tableColumn id="1" xr3:uid="{A53A0657-C6C9-4804-9F88-3CB86FBACD36}" uniqueName="1" name="year" queryTableFieldId="1"/>
    <tableColumn id="2" xr3:uid="{8C0658FC-9F73-40F8-BC1E-F4A8E4586427}" uniqueName="2" name="stage" queryTableFieldId="2" dataDxfId="14"/>
    <tableColumn id="3" xr3:uid="{84B2403F-B29F-4590-8246-F08677CF248D}" uniqueName="3" name="team1" queryTableFieldId="3" dataDxfId="13"/>
    <tableColumn id="4" xr3:uid="{1DC3A72F-7041-4404-8BF4-FA5AC0C1585D}" uniqueName="4" name="score1" queryTableFieldId="4"/>
    <tableColumn id="5" xr3:uid="{359D5966-CE00-4B2C-BD42-A30F94CDD7D9}" uniqueName="5" name="score2" queryTableFieldId="5"/>
    <tableColumn id="12" xr3:uid="{FF1FAAFC-020A-4D5A-A0B7-76FCCCC951AE}" uniqueName="12" name="Total Goals" queryTableFieldId="12" dataDxfId="0">
      <calculatedColumnFormula>wc_all_matches[[#This Row],[score1]]+wc_all_matches[[#This Row],[score2]]</calculatedColumnFormula>
    </tableColumn>
    <tableColumn id="6" xr3:uid="{FD11C382-21E3-46B7-837B-802524A7ECE3}" uniqueName="6" name="team2" queryTableFieldId="6" dataDxfId="12"/>
    <tableColumn id="7" xr3:uid="{F0331A45-4E67-4850-B273-8BC71D4A5878}" uniqueName="7" name="venue" queryTableFieldId="7" dataDxfId="11"/>
    <tableColumn id="8" xr3:uid="{6FA364D6-97CB-4514-AE18-78FF5F930703}" uniqueName="8" name="city" queryTableFieldId="8" dataDxfId="10"/>
    <tableColumn id="9" xr3:uid="{57FC5CA0-BE62-48C0-A49A-A8F08DB29F14}" uniqueName="9" name="country" queryTableFieldId="9" dataDxfId="9"/>
    <tableColumn id="10" xr3:uid="{CAADC956-3187-4D33-9E45-D3FF50417AF1}" uniqueName="10" name="date" queryTableFieldId="10" dataDxfId="8"/>
    <tableColumn id="11" xr3:uid="{FE8F2F8D-E9E5-42E5-B7AE-B6558E9F932F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B2700E-F59C-48F5-8D0A-4C993AC9DB86}" name="wc_top_scorers" displayName="wc_top_scorers" ref="A1:K23" tableType="queryTable" totalsRowShown="0">
  <autoFilter ref="A1:K23" xr:uid="{9EB2700E-F59C-48F5-8D0A-4C993AC9DB86}"/>
  <tableColumns count="11">
    <tableColumn id="1" xr3:uid="{07139667-291D-4B0C-A633-019CE2FDB4F1}" uniqueName="1" name="edition" queryTableFieldId="1"/>
    <tableColumn id="2" xr3:uid="{946A6146-1D09-48E8-8EAB-C31EB8C3FA79}" uniqueName="2" name="year" queryTableFieldId="2"/>
    <tableColumn id="3" xr3:uid="{69AF8538-E96D-4B2B-81C7-0DF3B4FB940B}" uniqueName="3" name="player" queryTableFieldId="3" dataDxfId="6"/>
    <tableColumn id="4" xr3:uid="{4EDE02F0-C6BF-4233-A4E3-F8119263B739}" uniqueName="4" name="country" queryTableFieldId="4" dataDxfId="5"/>
    <tableColumn id="5" xr3:uid="{10E92BC0-30D6-4570-994A-B4FC1C9CCABB}" uniqueName="5" name="position" queryTableFieldId="5" dataDxfId="4"/>
    <tableColumn id="6" xr3:uid="{D3F465B1-E451-42C9-BB35-8DBFB0305011}" uniqueName="6" name="goals" queryTableFieldId="6"/>
    <tableColumn id="7" xr3:uid="{67220BED-468C-4D16-B2A7-D0D55E65C5B7}" uniqueName="7" name="assists" queryTableFieldId="7"/>
    <tableColumn id="8" xr3:uid="{77A4750F-83F6-4AF9-9D0C-242DDABB2C88}" uniqueName="8" name="penalties" queryTableFieldId="8"/>
    <tableColumn id="9" xr3:uid="{B6CB320F-78B4-4B0E-B297-AD0B5BF2F7FB}" uniqueName="9" name="matches_played" queryTableFieldId="9"/>
    <tableColumn id="10" xr3:uid="{04454F54-5766-46F3-AB5B-986089F86C0A}" uniqueName="10" name="host" queryTableFieldId="10" dataDxfId="3"/>
    <tableColumn id="11" xr3:uid="{1BEA8CC9-DD52-4D74-945E-8248EC1E9A54}" uniqueName="11" name="team_result" queryTableFieldId="1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B3B9-8434-4433-92C6-5424608DD2AE}">
  <dimension ref="A1:O105"/>
  <sheetViews>
    <sheetView workbookViewId="0">
      <selection activeCell="D76" sqref="D76"/>
    </sheetView>
  </sheetViews>
  <sheetFormatPr defaultRowHeight="15" x14ac:dyDescent="0.25"/>
  <cols>
    <col min="1" max="1" width="8.42578125" bestFit="1" customWidth="1"/>
    <col min="2" max="2" width="15.140625" bestFit="1" customWidth="1"/>
    <col min="3" max="4" width="22.5703125" bestFit="1" customWidth="1"/>
    <col min="5" max="5" width="22.42578125" bestFit="1" customWidth="1"/>
    <col min="6" max="6" width="14.5703125" bestFit="1" customWidth="1"/>
    <col min="7" max="7" width="10.140625" bestFit="1" customWidth="1"/>
    <col min="8" max="8" width="9.42578125" bestFit="1" customWidth="1"/>
    <col min="9" max="9" width="12.140625" bestFit="1" customWidth="1"/>
    <col min="10" max="10" width="22.7109375" bestFit="1" customWidth="1"/>
    <col min="11" max="11" width="17.5703125" bestFit="1" customWidth="1"/>
    <col min="12" max="12" width="20" bestFit="1" customWidth="1"/>
    <col min="13" max="13" width="22.7109375" bestFit="1" customWidth="1"/>
    <col min="14" max="14" width="17.5703125" bestFit="1" customWidth="1"/>
    <col min="15" max="15" width="20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2">
        <v>46184</v>
      </c>
      <c r="I2" s="1" t="s">
        <v>21</v>
      </c>
      <c r="J2" s="1" t="s">
        <v>22</v>
      </c>
      <c r="K2">
        <v>15</v>
      </c>
      <c r="L2" s="1" t="s">
        <v>23</v>
      </c>
      <c r="M2" s="1" t="s">
        <v>24</v>
      </c>
      <c r="N2">
        <v>60</v>
      </c>
      <c r="O2" s="1" t="s">
        <v>25</v>
      </c>
    </row>
    <row r="3" spans="1:15" x14ac:dyDescent="0.25">
      <c r="A3" s="1" t="s">
        <v>15</v>
      </c>
      <c r="B3" s="1" t="s">
        <v>16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17</v>
      </c>
      <c r="H3" s="2">
        <v>46184</v>
      </c>
      <c r="I3" s="1" t="s">
        <v>30</v>
      </c>
      <c r="J3" s="1" t="s">
        <v>31</v>
      </c>
      <c r="K3">
        <v>25</v>
      </c>
      <c r="L3" s="1" t="s">
        <v>32</v>
      </c>
      <c r="M3" s="1" t="s">
        <v>33</v>
      </c>
      <c r="N3">
        <v>41</v>
      </c>
      <c r="O3" s="1" t="s">
        <v>34</v>
      </c>
    </row>
    <row r="4" spans="1:15" x14ac:dyDescent="0.25">
      <c r="A4" s="1" t="s">
        <v>15</v>
      </c>
      <c r="B4" s="1" t="s">
        <v>16</v>
      </c>
      <c r="C4" s="1" t="s">
        <v>26</v>
      </c>
      <c r="D4" s="1" t="s">
        <v>17</v>
      </c>
      <c r="E4" s="1" t="s">
        <v>28</v>
      </c>
      <c r="F4" s="1" t="s">
        <v>29</v>
      </c>
      <c r="G4" s="1" t="s">
        <v>17</v>
      </c>
      <c r="H4" s="2">
        <v>46191</v>
      </c>
      <c r="I4" s="1" t="s">
        <v>35</v>
      </c>
      <c r="J4" s="1" t="s">
        <v>31</v>
      </c>
      <c r="K4">
        <v>25</v>
      </c>
      <c r="L4" s="1" t="s">
        <v>32</v>
      </c>
      <c r="M4" s="1" t="s">
        <v>22</v>
      </c>
      <c r="N4">
        <v>15</v>
      </c>
      <c r="O4" s="1" t="s">
        <v>23</v>
      </c>
    </row>
    <row r="5" spans="1:15" x14ac:dyDescent="0.25">
      <c r="A5" s="1" t="s">
        <v>15</v>
      </c>
      <c r="B5" s="1" t="s">
        <v>16</v>
      </c>
      <c r="C5" s="1" t="s">
        <v>27</v>
      </c>
      <c r="D5" s="1" t="s">
        <v>18</v>
      </c>
      <c r="E5" s="1" t="s">
        <v>28</v>
      </c>
      <c r="F5" s="1" t="s">
        <v>29</v>
      </c>
      <c r="G5" s="1" t="s">
        <v>17</v>
      </c>
      <c r="H5" s="2">
        <v>46191</v>
      </c>
      <c r="I5" s="1" t="s">
        <v>36</v>
      </c>
      <c r="J5" s="1" t="s">
        <v>33</v>
      </c>
      <c r="K5">
        <v>41</v>
      </c>
      <c r="L5" s="1" t="s">
        <v>34</v>
      </c>
      <c r="M5" s="1" t="s">
        <v>24</v>
      </c>
      <c r="N5">
        <v>60</v>
      </c>
      <c r="O5" s="1" t="s">
        <v>25</v>
      </c>
    </row>
    <row r="6" spans="1:15" x14ac:dyDescent="0.25">
      <c r="A6" s="1" t="s">
        <v>15</v>
      </c>
      <c r="B6" s="1" t="s">
        <v>16</v>
      </c>
      <c r="C6" s="1" t="s">
        <v>27</v>
      </c>
      <c r="D6" s="1" t="s">
        <v>17</v>
      </c>
      <c r="E6" s="1" t="s">
        <v>19</v>
      </c>
      <c r="F6" s="1" t="s">
        <v>20</v>
      </c>
      <c r="G6" s="1" t="s">
        <v>17</v>
      </c>
      <c r="H6" s="2">
        <v>46197</v>
      </c>
      <c r="I6" s="1" t="s">
        <v>35</v>
      </c>
      <c r="J6" s="1" t="s">
        <v>33</v>
      </c>
      <c r="K6">
        <v>41</v>
      </c>
      <c r="L6" s="1" t="s">
        <v>34</v>
      </c>
      <c r="M6" s="1" t="s">
        <v>22</v>
      </c>
      <c r="N6">
        <v>15</v>
      </c>
      <c r="O6" s="1" t="s">
        <v>23</v>
      </c>
    </row>
    <row r="7" spans="1:15" x14ac:dyDescent="0.25">
      <c r="A7" s="1" t="s">
        <v>15</v>
      </c>
      <c r="B7" s="1" t="s">
        <v>16</v>
      </c>
      <c r="C7" s="1" t="s">
        <v>18</v>
      </c>
      <c r="D7" s="1" t="s">
        <v>26</v>
      </c>
      <c r="E7" s="1" t="s">
        <v>19</v>
      </c>
      <c r="F7" s="1" t="s">
        <v>20</v>
      </c>
      <c r="G7" s="1" t="s">
        <v>17</v>
      </c>
      <c r="H7" s="2">
        <v>46197</v>
      </c>
      <c r="I7" s="1" t="s">
        <v>35</v>
      </c>
      <c r="J7" s="1" t="s">
        <v>24</v>
      </c>
      <c r="K7">
        <v>60</v>
      </c>
      <c r="L7" s="1" t="s">
        <v>25</v>
      </c>
      <c r="M7" s="1" t="s">
        <v>31</v>
      </c>
      <c r="N7">
        <v>25</v>
      </c>
      <c r="O7" s="1" t="s">
        <v>32</v>
      </c>
    </row>
    <row r="8" spans="1:15" x14ac:dyDescent="0.25">
      <c r="A8" s="1" t="s">
        <v>37</v>
      </c>
      <c r="B8" s="1" t="s">
        <v>16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38</v>
      </c>
      <c r="H8" s="2">
        <v>46185</v>
      </c>
      <c r="I8" s="1" t="s">
        <v>42</v>
      </c>
      <c r="J8" s="1" t="s">
        <v>22</v>
      </c>
      <c r="K8">
        <v>30</v>
      </c>
      <c r="L8" s="1" t="s">
        <v>43</v>
      </c>
      <c r="M8" s="1" t="s">
        <v>33</v>
      </c>
      <c r="N8">
        <v>52</v>
      </c>
      <c r="O8" s="1" t="s">
        <v>44</v>
      </c>
    </row>
    <row r="9" spans="1:15" x14ac:dyDescent="0.25">
      <c r="A9" s="1" t="s">
        <v>37</v>
      </c>
      <c r="B9" s="1" t="s">
        <v>16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2">
        <v>46186</v>
      </c>
      <c r="I9" s="1" t="s">
        <v>42</v>
      </c>
      <c r="J9" s="1" t="s">
        <v>31</v>
      </c>
      <c r="K9">
        <v>35</v>
      </c>
      <c r="L9" s="1" t="s">
        <v>50</v>
      </c>
      <c r="M9" s="1" t="s">
        <v>33</v>
      </c>
      <c r="N9">
        <v>19</v>
      </c>
      <c r="O9" s="1" t="s">
        <v>51</v>
      </c>
    </row>
    <row r="10" spans="1:15" x14ac:dyDescent="0.25">
      <c r="A10" s="1" t="s">
        <v>37</v>
      </c>
      <c r="B10" s="1" t="s">
        <v>16</v>
      </c>
      <c r="C10" s="1" t="s">
        <v>46</v>
      </c>
      <c r="D10" s="1" t="s">
        <v>39</v>
      </c>
      <c r="E10" s="1" t="s">
        <v>52</v>
      </c>
      <c r="F10" s="1" t="s">
        <v>53</v>
      </c>
      <c r="G10" s="1" t="s">
        <v>38</v>
      </c>
      <c r="H10" s="2">
        <v>46191</v>
      </c>
      <c r="I10" s="1" t="s">
        <v>42</v>
      </c>
      <c r="J10" s="1" t="s">
        <v>33</v>
      </c>
      <c r="K10">
        <v>19</v>
      </c>
      <c r="L10" s="1" t="s">
        <v>51</v>
      </c>
      <c r="M10" s="1" t="s">
        <v>33</v>
      </c>
      <c r="N10">
        <v>52</v>
      </c>
      <c r="O10" s="1" t="s">
        <v>44</v>
      </c>
    </row>
    <row r="11" spans="1:15" x14ac:dyDescent="0.25">
      <c r="A11" s="1" t="s">
        <v>37</v>
      </c>
      <c r="B11" s="1" t="s">
        <v>16</v>
      </c>
      <c r="C11" s="1" t="s">
        <v>38</v>
      </c>
      <c r="D11" s="1" t="s">
        <v>45</v>
      </c>
      <c r="E11" s="1" t="s">
        <v>52</v>
      </c>
      <c r="F11" s="1" t="s">
        <v>53</v>
      </c>
      <c r="G11" s="1" t="s">
        <v>38</v>
      </c>
      <c r="H11" s="2">
        <v>46192</v>
      </c>
      <c r="I11" s="1" t="s">
        <v>36</v>
      </c>
      <c r="J11" s="1" t="s">
        <v>22</v>
      </c>
      <c r="K11">
        <v>30</v>
      </c>
      <c r="L11" s="1" t="s">
        <v>43</v>
      </c>
      <c r="M11" s="1" t="s">
        <v>31</v>
      </c>
      <c r="N11">
        <v>35</v>
      </c>
      <c r="O11" s="1" t="s">
        <v>50</v>
      </c>
    </row>
    <row r="12" spans="1:15" x14ac:dyDescent="0.25">
      <c r="A12" s="1" t="s">
        <v>37</v>
      </c>
      <c r="B12" s="1" t="s">
        <v>16</v>
      </c>
      <c r="C12" s="1" t="s">
        <v>46</v>
      </c>
      <c r="D12" s="1" t="s">
        <v>38</v>
      </c>
      <c r="E12" s="1" t="s">
        <v>52</v>
      </c>
      <c r="F12" s="1" t="s">
        <v>53</v>
      </c>
      <c r="G12" s="1" t="s">
        <v>38</v>
      </c>
      <c r="H12" s="2">
        <v>46197</v>
      </c>
      <c r="I12" s="1" t="s">
        <v>36</v>
      </c>
      <c r="J12" s="1" t="s">
        <v>33</v>
      </c>
      <c r="K12">
        <v>19</v>
      </c>
      <c r="L12" s="1" t="s">
        <v>51</v>
      </c>
      <c r="M12" s="1" t="s">
        <v>22</v>
      </c>
      <c r="N12">
        <v>30</v>
      </c>
      <c r="O12" s="1" t="s">
        <v>43</v>
      </c>
    </row>
    <row r="13" spans="1:15" x14ac:dyDescent="0.25">
      <c r="A13" s="1" t="s">
        <v>37</v>
      </c>
      <c r="B13" s="1" t="s">
        <v>16</v>
      </c>
      <c r="C13" s="1" t="s">
        <v>39</v>
      </c>
      <c r="D13" s="1" t="s">
        <v>45</v>
      </c>
      <c r="E13" s="1" t="s">
        <v>40</v>
      </c>
      <c r="F13" s="1" t="s">
        <v>41</v>
      </c>
      <c r="G13" s="1" t="s">
        <v>38</v>
      </c>
      <c r="H13" s="2">
        <v>46197</v>
      </c>
      <c r="I13" s="1" t="s">
        <v>36</v>
      </c>
      <c r="J13" s="1" t="s">
        <v>33</v>
      </c>
      <c r="K13">
        <v>52</v>
      </c>
      <c r="L13" s="1" t="s">
        <v>44</v>
      </c>
      <c r="M13" s="1" t="s">
        <v>31</v>
      </c>
      <c r="N13">
        <v>35</v>
      </c>
      <c r="O13" s="1" t="s">
        <v>50</v>
      </c>
    </row>
    <row r="14" spans="1:15" x14ac:dyDescent="0.25">
      <c r="A14" s="1" t="s">
        <v>54</v>
      </c>
      <c r="B14" s="1" t="s">
        <v>16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49</v>
      </c>
      <c r="H14" s="2">
        <v>46186</v>
      </c>
      <c r="I14" s="1" t="s">
        <v>36</v>
      </c>
      <c r="J14" s="1" t="s">
        <v>59</v>
      </c>
      <c r="K14">
        <v>6</v>
      </c>
      <c r="L14" s="1" t="s">
        <v>60</v>
      </c>
      <c r="M14" s="1" t="s">
        <v>24</v>
      </c>
      <c r="N14">
        <v>8</v>
      </c>
      <c r="O14" s="1" t="s">
        <v>61</v>
      </c>
    </row>
    <row r="15" spans="1:15" x14ac:dyDescent="0.25">
      <c r="A15" s="1" t="s">
        <v>54</v>
      </c>
      <c r="B15" s="1" t="s">
        <v>16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49</v>
      </c>
      <c r="H15" s="2">
        <v>46186</v>
      </c>
      <c r="I15" s="1" t="s">
        <v>35</v>
      </c>
      <c r="J15" s="1" t="s">
        <v>22</v>
      </c>
      <c r="K15">
        <v>83</v>
      </c>
      <c r="L15" s="1" t="s">
        <v>66</v>
      </c>
      <c r="M15" s="1" t="s">
        <v>33</v>
      </c>
      <c r="N15">
        <v>47</v>
      </c>
      <c r="O15" s="1" t="s">
        <v>67</v>
      </c>
    </row>
    <row r="16" spans="1:15" x14ac:dyDescent="0.25">
      <c r="A16" s="1" t="s">
        <v>54</v>
      </c>
      <c r="B16" s="1" t="s">
        <v>16</v>
      </c>
      <c r="C16" s="1" t="s">
        <v>55</v>
      </c>
      <c r="D16" s="1" t="s">
        <v>63</v>
      </c>
      <c r="E16" s="1" t="s">
        <v>57</v>
      </c>
      <c r="F16" s="1" t="s">
        <v>58</v>
      </c>
      <c r="G16" s="1" t="s">
        <v>49</v>
      </c>
      <c r="H16" s="2">
        <v>46192</v>
      </c>
      <c r="I16" s="1" t="s">
        <v>35</v>
      </c>
      <c r="J16" s="1" t="s">
        <v>59</v>
      </c>
      <c r="K16">
        <v>6</v>
      </c>
      <c r="L16" s="1" t="s">
        <v>60</v>
      </c>
      <c r="M16" s="1" t="s">
        <v>33</v>
      </c>
      <c r="N16">
        <v>47</v>
      </c>
      <c r="O16" s="1" t="s">
        <v>67</v>
      </c>
    </row>
    <row r="17" spans="1:15" x14ac:dyDescent="0.25">
      <c r="A17" s="1" t="s">
        <v>54</v>
      </c>
      <c r="B17" s="1" t="s">
        <v>16</v>
      </c>
      <c r="C17" s="1" t="s">
        <v>56</v>
      </c>
      <c r="D17" s="1" t="s">
        <v>62</v>
      </c>
      <c r="E17" s="1" t="s">
        <v>57</v>
      </c>
      <c r="F17" s="1" t="s">
        <v>58</v>
      </c>
      <c r="G17" s="1" t="s">
        <v>49</v>
      </c>
      <c r="H17" s="2">
        <v>46192</v>
      </c>
      <c r="I17" s="1" t="s">
        <v>35</v>
      </c>
      <c r="J17" s="1" t="s">
        <v>24</v>
      </c>
      <c r="K17">
        <v>8</v>
      </c>
      <c r="L17" s="1" t="s">
        <v>61</v>
      </c>
      <c r="M17" s="1" t="s">
        <v>22</v>
      </c>
      <c r="N17">
        <v>83</v>
      </c>
      <c r="O17" s="1" t="s">
        <v>66</v>
      </c>
    </row>
    <row r="18" spans="1:15" x14ac:dyDescent="0.25">
      <c r="A18" s="1" t="s">
        <v>54</v>
      </c>
      <c r="B18" s="1" t="s">
        <v>16</v>
      </c>
      <c r="C18" s="1" t="s">
        <v>63</v>
      </c>
      <c r="D18" s="1" t="s">
        <v>55</v>
      </c>
      <c r="E18" s="1" t="s">
        <v>64</v>
      </c>
      <c r="F18" s="1" t="s">
        <v>65</v>
      </c>
      <c r="G18" s="1" t="s">
        <v>49</v>
      </c>
      <c r="H18" s="2">
        <v>46197</v>
      </c>
      <c r="I18" s="1" t="s">
        <v>35</v>
      </c>
      <c r="J18" s="1" t="s">
        <v>33</v>
      </c>
      <c r="K18">
        <v>47</v>
      </c>
      <c r="L18" s="1" t="s">
        <v>67</v>
      </c>
      <c r="M18" s="1" t="s">
        <v>59</v>
      </c>
      <c r="N18">
        <v>6</v>
      </c>
      <c r="O18" s="1" t="s">
        <v>60</v>
      </c>
    </row>
    <row r="19" spans="1:15" x14ac:dyDescent="0.25">
      <c r="A19" s="1" t="s">
        <v>54</v>
      </c>
      <c r="B19" s="1" t="s">
        <v>16</v>
      </c>
      <c r="C19" s="1" t="s">
        <v>56</v>
      </c>
      <c r="D19" s="1" t="s">
        <v>62</v>
      </c>
      <c r="E19" s="1" t="s">
        <v>64</v>
      </c>
      <c r="F19" s="1" t="s">
        <v>65</v>
      </c>
      <c r="G19" s="1" t="s">
        <v>49</v>
      </c>
      <c r="H19" s="2">
        <v>46197</v>
      </c>
      <c r="I19" s="1" t="s">
        <v>35</v>
      </c>
      <c r="J19" s="1" t="s">
        <v>24</v>
      </c>
      <c r="K19">
        <v>8</v>
      </c>
      <c r="L19" s="1" t="s">
        <v>61</v>
      </c>
      <c r="M19" s="1" t="s">
        <v>22</v>
      </c>
      <c r="N19">
        <v>83</v>
      </c>
      <c r="O19" s="1" t="s">
        <v>66</v>
      </c>
    </row>
    <row r="20" spans="1:15" x14ac:dyDescent="0.25">
      <c r="A20" s="1" t="s">
        <v>68</v>
      </c>
      <c r="B20" s="1" t="s">
        <v>16</v>
      </c>
      <c r="C20" s="1" t="s">
        <v>49</v>
      </c>
      <c r="D20" s="1" t="s">
        <v>69</v>
      </c>
      <c r="E20" s="1" t="s">
        <v>70</v>
      </c>
      <c r="F20" s="1" t="s">
        <v>71</v>
      </c>
      <c r="G20" s="1" t="s">
        <v>49</v>
      </c>
      <c r="H20" s="2">
        <v>46185</v>
      </c>
      <c r="I20" s="1" t="s">
        <v>35</v>
      </c>
      <c r="J20" s="1" t="s">
        <v>22</v>
      </c>
      <c r="K20">
        <v>16</v>
      </c>
      <c r="L20" s="1" t="s">
        <v>72</v>
      </c>
      <c r="M20" s="1" t="s">
        <v>59</v>
      </c>
      <c r="N20">
        <v>64</v>
      </c>
      <c r="O20" s="1" t="s">
        <v>73</v>
      </c>
    </row>
    <row r="21" spans="1:15" x14ac:dyDescent="0.25">
      <c r="A21" s="1" t="s">
        <v>68</v>
      </c>
      <c r="B21" s="1" t="s">
        <v>16</v>
      </c>
      <c r="C21" s="1" t="s">
        <v>74</v>
      </c>
      <c r="D21" s="1" t="s">
        <v>75</v>
      </c>
      <c r="E21" s="1" t="s">
        <v>57</v>
      </c>
      <c r="F21" s="1" t="s">
        <v>58</v>
      </c>
      <c r="G21" s="1" t="s">
        <v>49</v>
      </c>
      <c r="H21" s="2">
        <v>46186</v>
      </c>
      <c r="I21" s="1" t="s">
        <v>76</v>
      </c>
      <c r="J21" s="1" t="s">
        <v>31</v>
      </c>
      <c r="K21">
        <v>26</v>
      </c>
      <c r="L21" s="1" t="s">
        <v>77</v>
      </c>
      <c r="M21" s="1" t="s">
        <v>33</v>
      </c>
      <c r="N21">
        <v>42</v>
      </c>
      <c r="O21" s="1" t="s">
        <v>78</v>
      </c>
    </row>
    <row r="22" spans="1:15" x14ac:dyDescent="0.25">
      <c r="A22" s="1" t="s">
        <v>68</v>
      </c>
      <c r="B22" s="1" t="s">
        <v>16</v>
      </c>
      <c r="C22" s="1" t="s">
        <v>49</v>
      </c>
      <c r="D22" s="1" t="s">
        <v>74</v>
      </c>
      <c r="E22" s="1" t="s">
        <v>79</v>
      </c>
      <c r="F22" s="1" t="s">
        <v>80</v>
      </c>
      <c r="G22" s="1" t="s">
        <v>49</v>
      </c>
      <c r="H22" s="2">
        <v>46192</v>
      </c>
      <c r="I22" s="1" t="s">
        <v>42</v>
      </c>
      <c r="J22" s="1" t="s">
        <v>22</v>
      </c>
      <c r="K22">
        <v>16</v>
      </c>
      <c r="L22" s="1" t="s">
        <v>72</v>
      </c>
      <c r="M22" s="1" t="s">
        <v>31</v>
      </c>
      <c r="N22">
        <v>26</v>
      </c>
      <c r="O22" s="1" t="s">
        <v>77</v>
      </c>
    </row>
    <row r="23" spans="1:15" x14ac:dyDescent="0.25">
      <c r="A23" s="1" t="s">
        <v>68</v>
      </c>
      <c r="B23" s="1" t="s">
        <v>16</v>
      </c>
      <c r="C23" s="1" t="s">
        <v>75</v>
      </c>
      <c r="D23" s="1" t="s">
        <v>69</v>
      </c>
      <c r="E23" s="1" t="s">
        <v>57</v>
      </c>
      <c r="F23" s="1" t="s">
        <v>58</v>
      </c>
      <c r="G23" s="1" t="s">
        <v>49</v>
      </c>
      <c r="H23" s="2">
        <v>46193</v>
      </c>
      <c r="I23" s="1" t="s">
        <v>81</v>
      </c>
      <c r="J23" s="1" t="s">
        <v>33</v>
      </c>
      <c r="K23">
        <v>42</v>
      </c>
      <c r="L23" s="1" t="s">
        <v>78</v>
      </c>
      <c r="M23" s="1" t="s">
        <v>59</v>
      </c>
      <c r="N23">
        <v>64</v>
      </c>
      <c r="O23" s="1" t="s">
        <v>73</v>
      </c>
    </row>
    <row r="24" spans="1:15" x14ac:dyDescent="0.25">
      <c r="A24" s="1" t="s">
        <v>68</v>
      </c>
      <c r="B24" s="1" t="s">
        <v>16</v>
      </c>
      <c r="C24" s="1" t="s">
        <v>75</v>
      </c>
      <c r="D24" s="1" t="s">
        <v>49</v>
      </c>
      <c r="E24" s="1" t="s">
        <v>82</v>
      </c>
      <c r="F24" s="1" t="s">
        <v>83</v>
      </c>
      <c r="G24" s="1" t="s">
        <v>49</v>
      </c>
      <c r="H24" s="2">
        <v>46198</v>
      </c>
      <c r="I24" s="1" t="s">
        <v>35</v>
      </c>
      <c r="J24" s="1" t="s">
        <v>33</v>
      </c>
      <c r="K24">
        <v>42</v>
      </c>
      <c r="L24" s="1" t="s">
        <v>78</v>
      </c>
      <c r="M24" s="1" t="s">
        <v>22</v>
      </c>
      <c r="N24">
        <v>16</v>
      </c>
      <c r="O24" s="1" t="s">
        <v>72</v>
      </c>
    </row>
    <row r="25" spans="1:15" x14ac:dyDescent="0.25">
      <c r="A25" s="1" t="s">
        <v>68</v>
      </c>
      <c r="B25" s="1" t="s">
        <v>16</v>
      </c>
      <c r="C25" s="1" t="s">
        <v>69</v>
      </c>
      <c r="D25" s="1" t="s">
        <v>74</v>
      </c>
      <c r="E25" s="1" t="s">
        <v>82</v>
      </c>
      <c r="F25" s="1" t="s">
        <v>83</v>
      </c>
      <c r="G25" s="1" t="s">
        <v>49</v>
      </c>
      <c r="H25" s="2">
        <v>46198</v>
      </c>
      <c r="I25" s="1" t="s">
        <v>35</v>
      </c>
      <c r="J25" s="1" t="s">
        <v>59</v>
      </c>
      <c r="K25">
        <v>64</v>
      </c>
      <c r="L25" s="1" t="s">
        <v>73</v>
      </c>
      <c r="M25" s="1" t="s">
        <v>31</v>
      </c>
      <c r="N25">
        <v>26</v>
      </c>
      <c r="O25" s="1" t="s">
        <v>77</v>
      </c>
    </row>
    <row r="26" spans="1:15" x14ac:dyDescent="0.25">
      <c r="A26" s="1" t="s">
        <v>84</v>
      </c>
      <c r="B26" s="1" t="s">
        <v>16</v>
      </c>
      <c r="C26" s="1" t="s">
        <v>85</v>
      </c>
      <c r="D26" s="1" t="s">
        <v>86</v>
      </c>
      <c r="E26" s="1" t="s">
        <v>87</v>
      </c>
      <c r="F26" s="1" t="s">
        <v>88</v>
      </c>
      <c r="G26" s="1" t="s">
        <v>49</v>
      </c>
      <c r="H26" s="2">
        <v>46187</v>
      </c>
      <c r="I26" s="1" t="s">
        <v>89</v>
      </c>
      <c r="J26" s="1" t="s">
        <v>33</v>
      </c>
      <c r="K26">
        <v>10</v>
      </c>
      <c r="L26" s="1" t="s">
        <v>90</v>
      </c>
      <c r="M26" s="1" t="s">
        <v>22</v>
      </c>
      <c r="N26">
        <v>81</v>
      </c>
      <c r="O26" s="1" t="s">
        <v>91</v>
      </c>
    </row>
    <row r="27" spans="1:15" x14ac:dyDescent="0.25">
      <c r="A27" s="1" t="s">
        <v>84</v>
      </c>
      <c r="B27" s="1" t="s">
        <v>16</v>
      </c>
      <c r="C27" s="1" t="s">
        <v>92</v>
      </c>
      <c r="D27" s="1" t="s">
        <v>93</v>
      </c>
      <c r="E27" s="1" t="s">
        <v>79</v>
      </c>
      <c r="F27" s="1" t="s">
        <v>80</v>
      </c>
      <c r="G27" s="1" t="s">
        <v>49</v>
      </c>
      <c r="H27" s="2">
        <v>46187</v>
      </c>
      <c r="I27" s="1" t="s">
        <v>94</v>
      </c>
      <c r="J27" s="1" t="s">
        <v>24</v>
      </c>
      <c r="K27">
        <v>33</v>
      </c>
      <c r="L27" s="1" t="s">
        <v>95</v>
      </c>
      <c r="M27" s="1" t="s">
        <v>59</v>
      </c>
      <c r="N27">
        <v>24</v>
      </c>
      <c r="O27" s="1" t="s">
        <v>96</v>
      </c>
    </row>
    <row r="28" spans="1:15" x14ac:dyDescent="0.25">
      <c r="A28" s="1" t="s">
        <v>84</v>
      </c>
      <c r="B28" s="1" t="s">
        <v>16</v>
      </c>
      <c r="C28" s="1" t="s">
        <v>85</v>
      </c>
      <c r="D28" s="1" t="s">
        <v>92</v>
      </c>
      <c r="E28" s="1" t="s">
        <v>87</v>
      </c>
      <c r="F28" s="1" t="s">
        <v>88</v>
      </c>
      <c r="G28" s="1" t="s">
        <v>49</v>
      </c>
      <c r="H28" s="2">
        <v>46193</v>
      </c>
      <c r="I28" s="1" t="s">
        <v>94</v>
      </c>
      <c r="J28" s="1" t="s">
        <v>33</v>
      </c>
      <c r="K28">
        <v>10</v>
      </c>
      <c r="L28" s="1" t="s">
        <v>90</v>
      </c>
      <c r="M28" s="1" t="s">
        <v>24</v>
      </c>
      <c r="N28">
        <v>33</v>
      </c>
      <c r="O28" s="1" t="s">
        <v>95</v>
      </c>
    </row>
    <row r="29" spans="1:15" x14ac:dyDescent="0.25">
      <c r="A29" s="1" t="s">
        <v>84</v>
      </c>
      <c r="B29" s="1" t="s">
        <v>16</v>
      </c>
      <c r="C29" s="1" t="s">
        <v>93</v>
      </c>
      <c r="D29" s="1" t="s">
        <v>86</v>
      </c>
      <c r="E29" s="1" t="s">
        <v>97</v>
      </c>
      <c r="F29" s="1" t="s">
        <v>98</v>
      </c>
      <c r="G29" s="1" t="s">
        <v>49</v>
      </c>
      <c r="H29" s="2">
        <v>46193</v>
      </c>
      <c r="I29" s="1" t="s">
        <v>30</v>
      </c>
      <c r="J29" s="1" t="s">
        <v>59</v>
      </c>
      <c r="K29">
        <v>24</v>
      </c>
      <c r="L29" s="1" t="s">
        <v>96</v>
      </c>
      <c r="M29" s="1" t="s">
        <v>22</v>
      </c>
      <c r="N29">
        <v>81</v>
      </c>
      <c r="O29" s="1" t="s">
        <v>91</v>
      </c>
    </row>
    <row r="30" spans="1:15" x14ac:dyDescent="0.25">
      <c r="A30" s="1" t="s">
        <v>84</v>
      </c>
      <c r="B30" s="1" t="s">
        <v>16</v>
      </c>
      <c r="C30" s="1" t="s">
        <v>93</v>
      </c>
      <c r="D30" s="1" t="s">
        <v>85</v>
      </c>
      <c r="E30" s="1" t="s">
        <v>82</v>
      </c>
      <c r="F30" s="1" t="s">
        <v>83</v>
      </c>
      <c r="G30" s="1" t="s">
        <v>49</v>
      </c>
      <c r="H30" s="2">
        <v>46198</v>
      </c>
      <c r="I30" s="1" t="s">
        <v>36</v>
      </c>
      <c r="J30" s="1" t="s">
        <v>59</v>
      </c>
      <c r="K30">
        <v>24</v>
      </c>
      <c r="L30" s="1" t="s">
        <v>96</v>
      </c>
      <c r="M30" s="1" t="s">
        <v>33</v>
      </c>
      <c r="N30">
        <v>10</v>
      </c>
      <c r="O30" s="1" t="s">
        <v>90</v>
      </c>
    </row>
    <row r="31" spans="1:15" x14ac:dyDescent="0.25">
      <c r="A31" s="1" t="s">
        <v>84</v>
      </c>
      <c r="B31" s="1" t="s">
        <v>16</v>
      </c>
      <c r="C31" s="1" t="s">
        <v>86</v>
      </c>
      <c r="D31" s="1" t="s">
        <v>92</v>
      </c>
      <c r="E31" s="1" t="s">
        <v>82</v>
      </c>
      <c r="F31" s="1" t="s">
        <v>83</v>
      </c>
      <c r="G31" s="1" t="s">
        <v>49</v>
      </c>
      <c r="H31" s="2">
        <v>46198</v>
      </c>
      <c r="I31" s="1" t="s">
        <v>36</v>
      </c>
      <c r="J31" s="1" t="s">
        <v>22</v>
      </c>
      <c r="K31">
        <v>81</v>
      </c>
      <c r="L31" s="1" t="s">
        <v>91</v>
      </c>
      <c r="M31" s="1" t="s">
        <v>24</v>
      </c>
      <c r="N31">
        <v>33</v>
      </c>
      <c r="O31" s="1" t="s">
        <v>95</v>
      </c>
    </row>
    <row r="32" spans="1:15" x14ac:dyDescent="0.25">
      <c r="A32" s="1" t="s">
        <v>99</v>
      </c>
      <c r="B32" s="1" t="s">
        <v>16</v>
      </c>
      <c r="C32" s="1" t="s">
        <v>100</v>
      </c>
      <c r="D32" s="1" t="s">
        <v>101</v>
      </c>
      <c r="E32" s="1" t="s">
        <v>82</v>
      </c>
      <c r="F32" s="1" t="s">
        <v>83</v>
      </c>
      <c r="G32" s="1" t="s">
        <v>49</v>
      </c>
      <c r="H32" s="2">
        <v>46187</v>
      </c>
      <c r="I32" s="1" t="s">
        <v>102</v>
      </c>
      <c r="J32" s="1" t="s">
        <v>33</v>
      </c>
      <c r="K32">
        <v>7</v>
      </c>
      <c r="L32" s="1" t="s">
        <v>103</v>
      </c>
      <c r="M32" s="1" t="s">
        <v>31</v>
      </c>
      <c r="N32">
        <v>18</v>
      </c>
      <c r="O32" s="1" t="s">
        <v>104</v>
      </c>
    </row>
    <row r="33" spans="1:15" x14ac:dyDescent="0.25">
      <c r="A33" s="1" t="s">
        <v>99</v>
      </c>
      <c r="B33" s="1" t="s">
        <v>16</v>
      </c>
      <c r="C33" s="1" t="s">
        <v>105</v>
      </c>
      <c r="D33" s="1" t="s">
        <v>106</v>
      </c>
      <c r="E33" s="1" t="s">
        <v>107</v>
      </c>
      <c r="F33" s="1" t="s">
        <v>108</v>
      </c>
      <c r="G33" s="1" t="s">
        <v>17</v>
      </c>
      <c r="H33" s="2">
        <v>46187</v>
      </c>
      <c r="I33" s="1" t="s">
        <v>21</v>
      </c>
      <c r="J33" s="1" t="s">
        <v>33</v>
      </c>
      <c r="K33">
        <v>39</v>
      </c>
      <c r="L33" s="1" t="s">
        <v>109</v>
      </c>
      <c r="M33" s="1" t="s">
        <v>24</v>
      </c>
      <c r="N33">
        <v>40</v>
      </c>
      <c r="O33" s="1" t="s">
        <v>110</v>
      </c>
    </row>
    <row r="34" spans="1:15" x14ac:dyDescent="0.25">
      <c r="A34" s="1" t="s">
        <v>99</v>
      </c>
      <c r="B34" s="1" t="s">
        <v>16</v>
      </c>
      <c r="C34" s="1" t="s">
        <v>100</v>
      </c>
      <c r="D34" s="1" t="s">
        <v>105</v>
      </c>
      <c r="E34" s="1" t="s">
        <v>87</v>
      </c>
      <c r="F34" s="1" t="s">
        <v>88</v>
      </c>
      <c r="G34" s="1" t="s">
        <v>49</v>
      </c>
      <c r="H34" s="2">
        <v>46193</v>
      </c>
      <c r="I34" s="1" t="s">
        <v>94</v>
      </c>
      <c r="J34" s="1" t="s">
        <v>33</v>
      </c>
      <c r="K34">
        <v>7</v>
      </c>
      <c r="L34" s="1" t="s">
        <v>103</v>
      </c>
      <c r="M34" s="1" t="s">
        <v>33</v>
      </c>
      <c r="N34">
        <v>39</v>
      </c>
      <c r="O34" s="1" t="s">
        <v>109</v>
      </c>
    </row>
    <row r="35" spans="1:15" x14ac:dyDescent="0.25">
      <c r="A35" s="1" t="s">
        <v>99</v>
      </c>
      <c r="B35" s="1" t="s">
        <v>16</v>
      </c>
      <c r="C35" s="1" t="s">
        <v>106</v>
      </c>
      <c r="D35" s="1" t="s">
        <v>101</v>
      </c>
      <c r="E35" s="1" t="s">
        <v>107</v>
      </c>
      <c r="F35" s="1" t="s">
        <v>108</v>
      </c>
      <c r="G35" s="1" t="s">
        <v>17</v>
      </c>
      <c r="H35" s="2">
        <v>46193</v>
      </c>
      <c r="I35" s="1" t="s">
        <v>111</v>
      </c>
      <c r="J35" s="1" t="s">
        <v>24</v>
      </c>
      <c r="K35">
        <v>40</v>
      </c>
      <c r="L35" s="1" t="s">
        <v>110</v>
      </c>
      <c r="M35" s="1" t="s">
        <v>31</v>
      </c>
      <c r="N35">
        <v>18</v>
      </c>
      <c r="O35" s="1" t="s">
        <v>104</v>
      </c>
    </row>
    <row r="36" spans="1:15" x14ac:dyDescent="0.25">
      <c r="A36" s="1" t="s">
        <v>99</v>
      </c>
      <c r="B36" s="1" t="s">
        <v>16</v>
      </c>
      <c r="C36" s="1" t="s">
        <v>101</v>
      </c>
      <c r="D36" s="1" t="s">
        <v>105</v>
      </c>
      <c r="E36" s="1" t="s">
        <v>82</v>
      </c>
      <c r="F36" s="1" t="s">
        <v>83</v>
      </c>
      <c r="G36" s="1" t="s">
        <v>49</v>
      </c>
      <c r="H36" s="2">
        <v>46199</v>
      </c>
      <c r="I36" s="1" t="s">
        <v>42</v>
      </c>
      <c r="J36" s="1" t="s">
        <v>31</v>
      </c>
      <c r="K36">
        <v>18</v>
      </c>
      <c r="L36" s="1" t="s">
        <v>104</v>
      </c>
      <c r="M36" s="1" t="s">
        <v>33</v>
      </c>
      <c r="N36">
        <v>39</v>
      </c>
      <c r="O36" s="1" t="s">
        <v>109</v>
      </c>
    </row>
    <row r="37" spans="1:15" x14ac:dyDescent="0.25">
      <c r="A37" s="1" t="s">
        <v>99</v>
      </c>
      <c r="B37" s="1" t="s">
        <v>16</v>
      </c>
      <c r="C37" s="1" t="s">
        <v>106</v>
      </c>
      <c r="D37" s="1" t="s">
        <v>100</v>
      </c>
      <c r="E37" s="1" t="s">
        <v>82</v>
      </c>
      <c r="F37" s="1" t="s">
        <v>83</v>
      </c>
      <c r="G37" s="1" t="s">
        <v>49</v>
      </c>
      <c r="H37" s="2">
        <v>46199</v>
      </c>
      <c r="I37" s="1" t="s">
        <v>42</v>
      </c>
      <c r="J37" s="1" t="s">
        <v>24</v>
      </c>
      <c r="K37">
        <v>40</v>
      </c>
      <c r="L37" s="1" t="s">
        <v>110</v>
      </c>
      <c r="M37" s="1" t="s">
        <v>33</v>
      </c>
      <c r="N37">
        <v>7</v>
      </c>
      <c r="O37" s="1" t="s">
        <v>103</v>
      </c>
    </row>
    <row r="38" spans="1:15" x14ac:dyDescent="0.25">
      <c r="A38" s="1" t="s">
        <v>112</v>
      </c>
      <c r="B38" s="1" t="s">
        <v>16</v>
      </c>
      <c r="C38" s="1" t="s">
        <v>113</v>
      </c>
      <c r="D38" s="1" t="s">
        <v>114</v>
      </c>
      <c r="E38" s="1" t="s">
        <v>47</v>
      </c>
      <c r="F38" s="1" t="s">
        <v>48</v>
      </c>
      <c r="G38" s="1" t="s">
        <v>49</v>
      </c>
      <c r="H38" s="2">
        <v>46188</v>
      </c>
      <c r="I38" s="1" t="s">
        <v>42</v>
      </c>
      <c r="J38" s="1" t="s">
        <v>33</v>
      </c>
      <c r="K38">
        <v>9</v>
      </c>
      <c r="L38" s="1" t="s">
        <v>115</v>
      </c>
      <c r="M38" s="1" t="s">
        <v>24</v>
      </c>
      <c r="N38">
        <v>29</v>
      </c>
      <c r="O38" s="1" t="s">
        <v>116</v>
      </c>
    </row>
    <row r="39" spans="1:15" x14ac:dyDescent="0.25">
      <c r="A39" s="1" t="s">
        <v>112</v>
      </c>
      <c r="B39" s="1" t="s">
        <v>16</v>
      </c>
      <c r="C39" s="1" t="s">
        <v>117</v>
      </c>
      <c r="D39" s="1" t="s">
        <v>118</v>
      </c>
      <c r="E39" s="1" t="s">
        <v>70</v>
      </c>
      <c r="F39" s="1" t="s">
        <v>71</v>
      </c>
      <c r="G39" s="1" t="s">
        <v>49</v>
      </c>
      <c r="H39" s="2">
        <v>46188</v>
      </c>
      <c r="I39" s="1" t="s">
        <v>36</v>
      </c>
      <c r="J39" s="1" t="s">
        <v>31</v>
      </c>
      <c r="K39">
        <v>21</v>
      </c>
      <c r="L39" s="1" t="s">
        <v>119</v>
      </c>
      <c r="M39" s="1" t="s">
        <v>120</v>
      </c>
      <c r="N39">
        <v>95</v>
      </c>
      <c r="O39" s="1" t="s">
        <v>121</v>
      </c>
    </row>
    <row r="40" spans="1:15" x14ac:dyDescent="0.25">
      <c r="A40" s="1" t="s">
        <v>112</v>
      </c>
      <c r="B40" s="1" t="s">
        <v>16</v>
      </c>
      <c r="C40" s="1" t="s">
        <v>113</v>
      </c>
      <c r="D40" s="1" t="s">
        <v>117</v>
      </c>
      <c r="E40" s="1" t="s">
        <v>70</v>
      </c>
      <c r="F40" s="1" t="s">
        <v>71</v>
      </c>
      <c r="G40" s="1" t="s">
        <v>49</v>
      </c>
      <c r="H40" s="2">
        <v>46194</v>
      </c>
      <c r="I40" s="1" t="s">
        <v>36</v>
      </c>
      <c r="J40" s="1" t="s">
        <v>33</v>
      </c>
      <c r="K40">
        <v>9</v>
      </c>
      <c r="L40" s="1" t="s">
        <v>115</v>
      </c>
      <c r="M40" s="1" t="s">
        <v>31</v>
      </c>
      <c r="N40">
        <v>21</v>
      </c>
      <c r="O40" s="1" t="s">
        <v>119</v>
      </c>
    </row>
    <row r="41" spans="1:15" x14ac:dyDescent="0.25">
      <c r="A41" s="1" t="s">
        <v>112</v>
      </c>
      <c r="B41" s="1" t="s">
        <v>16</v>
      </c>
      <c r="C41" s="1" t="s">
        <v>118</v>
      </c>
      <c r="D41" s="1" t="s">
        <v>114</v>
      </c>
      <c r="E41" s="1" t="s">
        <v>47</v>
      </c>
      <c r="F41" s="1" t="s">
        <v>48</v>
      </c>
      <c r="G41" s="1" t="s">
        <v>49</v>
      </c>
      <c r="H41" s="2">
        <v>46194</v>
      </c>
      <c r="I41" s="1" t="s">
        <v>42</v>
      </c>
      <c r="J41" s="1" t="s">
        <v>120</v>
      </c>
      <c r="K41">
        <v>95</v>
      </c>
      <c r="L41" s="1" t="s">
        <v>121</v>
      </c>
      <c r="M41" s="1" t="s">
        <v>24</v>
      </c>
      <c r="N41">
        <v>29</v>
      </c>
      <c r="O41" s="1" t="s">
        <v>116</v>
      </c>
    </row>
    <row r="42" spans="1:15" x14ac:dyDescent="0.25">
      <c r="A42" s="1" t="s">
        <v>112</v>
      </c>
      <c r="B42" s="1" t="s">
        <v>16</v>
      </c>
      <c r="C42" s="1" t="s">
        <v>114</v>
      </c>
      <c r="D42" s="1" t="s">
        <v>117</v>
      </c>
      <c r="E42" s="1" t="s">
        <v>47</v>
      </c>
      <c r="F42" s="1" t="s">
        <v>48</v>
      </c>
      <c r="G42" s="1" t="s">
        <v>49</v>
      </c>
      <c r="H42" s="2">
        <v>46199</v>
      </c>
      <c r="I42" s="1" t="s">
        <v>36</v>
      </c>
      <c r="J42" s="1" t="s">
        <v>24</v>
      </c>
      <c r="K42">
        <v>29</v>
      </c>
      <c r="L42" s="1" t="s">
        <v>116</v>
      </c>
      <c r="M42" s="1" t="s">
        <v>31</v>
      </c>
      <c r="N42">
        <v>21</v>
      </c>
      <c r="O42" s="1" t="s">
        <v>119</v>
      </c>
    </row>
    <row r="43" spans="1:15" x14ac:dyDescent="0.25">
      <c r="A43" s="1" t="s">
        <v>112</v>
      </c>
      <c r="B43" s="1" t="s">
        <v>16</v>
      </c>
      <c r="C43" s="1" t="s">
        <v>118</v>
      </c>
      <c r="D43" s="1" t="s">
        <v>113</v>
      </c>
      <c r="E43" s="1" t="s">
        <v>70</v>
      </c>
      <c r="F43" s="1" t="s">
        <v>71</v>
      </c>
      <c r="G43" s="1" t="s">
        <v>49</v>
      </c>
      <c r="H43" s="2">
        <v>46199</v>
      </c>
      <c r="I43" s="1" t="s">
        <v>36</v>
      </c>
      <c r="J43" s="1" t="s">
        <v>120</v>
      </c>
      <c r="K43">
        <v>95</v>
      </c>
      <c r="L43" s="1" t="s">
        <v>121</v>
      </c>
      <c r="M43" s="1" t="s">
        <v>33</v>
      </c>
      <c r="N43">
        <v>9</v>
      </c>
      <c r="O43" s="1" t="s">
        <v>115</v>
      </c>
    </row>
    <row r="44" spans="1:15" x14ac:dyDescent="0.25">
      <c r="A44" s="1" t="s">
        <v>122</v>
      </c>
      <c r="B44" s="1" t="s">
        <v>16</v>
      </c>
      <c r="C44" s="1" t="s">
        <v>123</v>
      </c>
      <c r="D44" s="1" t="s">
        <v>124</v>
      </c>
      <c r="E44" s="1" t="s">
        <v>97</v>
      </c>
      <c r="F44" s="1" t="s">
        <v>98</v>
      </c>
      <c r="G44" s="1" t="s">
        <v>49</v>
      </c>
      <c r="H44" s="2">
        <v>46188</v>
      </c>
      <c r="I44" s="1" t="s">
        <v>76</v>
      </c>
      <c r="J44" s="1" t="s">
        <v>33</v>
      </c>
      <c r="K44">
        <v>2</v>
      </c>
      <c r="L44" s="1" t="s">
        <v>125</v>
      </c>
      <c r="M44" s="1" t="s">
        <v>24</v>
      </c>
      <c r="N44">
        <v>70</v>
      </c>
      <c r="O44" s="1" t="s">
        <v>126</v>
      </c>
    </row>
    <row r="45" spans="1:15" x14ac:dyDescent="0.25">
      <c r="A45" s="1" t="s">
        <v>122</v>
      </c>
      <c r="B45" s="1" t="s">
        <v>16</v>
      </c>
      <c r="C45" s="1" t="s">
        <v>127</v>
      </c>
      <c r="D45" s="1" t="s">
        <v>128</v>
      </c>
      <c r="E45" s="1" t="s">
        <v>129</v>
      </c>
      <c r="F45" s="1" t="s">
        <v>130</v>
      </c>
      <c r="G45" s="1" t="s">
        <v>49</v>
      </c>
      <c r="H45" s="2">
        <v>46188</v>
      </c>
      <c r="I45" s="1" t="s">
        <v>42</v>
      </c>
      <c r="J45" s="1" t="s">
        <v>31</v>
      </c>
      <c r="K45">
        <v>57</v>
      </c>
      <c r="L45" s="1" t="s">
        <v>131</v>
      </c>
      <c r="M45" s="1" t="s">
        <v>59</v>
      </c>
      <c r="N45">
        <v>17</v>
      </c>
      <c r="O45" s="1" t="s">
        <v>132</v>
      </c>
    </row>
    <row r="46" spans="1:15" x14ac:dyDescent="0.25">
      <c r="A46" s="1" t="s">
        <v>122</v>
      </c>
      <c r="B46" s="1" t="s">
        <v>16</v>
      </c>
      <c r="C46" s="1" t="s">
        <v>123</v>
      </c>
      <c r="D46" s="1" t="s">
        <v>127</v>
      </c>
      <c r="E46" s="1" t="s">
        <v>28</v>
      </c>
      <c r="F46" s="1" t="s">
        <v>29</v>
      </c>
      <c r="G46" s="1" t="s">
        <v>17</v>
      </c>
      <c r="H46" s="2">
        <v>46194</v>
      </c>
      <c r="I46" s="1" t="s">
        <v>35</v>
      </c>
      <c r="J46" s="1" t="s">
        <v>33</v>
      </c>
      <c r="K46">
        <v>2</v>
      </c>
      <c r="L46" s="1" t="s">
        <v>125</v>
      </c>
      <c r="M46" s="1" t="s">
        <v>31</v>
      </c>
      <c r="N46">
        <v>57</v>
      </c>
      <c r="O46" s="1" t="s">
        <v>131</v>
      </c>
    </row>
    <row r="47" spans="1:15" x14ac:dyDescent="0.25">
      <c r="A47" s="1" t="s">
        <v>122</v>
      </c>
      <c r="B47" s="1" t="s">
        <v>16</v>
      </c>
      <c r="C47" s="1" t="s">
        <v>128</v>
      </c>
      <c r="D47" s="1" t="s">
        <v>124</v>
      </c>
      <c r="E47" s="1" t="s">
        <v>129</v>
      </c>
      <c r="F47" s="1" t="s">
        <v>130</v>
      </c>
      <c r="G47" s="1" t="s">
        <v>49</v>
      </c>
      <c r="H47" s="2">
        <v>46194</v>
      </c>
      <c r="I47" s="1" t="s">
        <v>36</v>
      </c>
      <c r="J47" s="1" t="s">
        <v>59</v>
      </c>
      <c r="K47">
        <v>17</v>
      </c>
      <c r="L47" s="1" t="s">
        <v>132</v>
      </c>
      <c r="M47" s="1" t="s">
        <v>24</v>
      </c>
      <c r="N47">
        <v>70</v>
      </c>
      <c r="O47" s="1" t="s">
        <v>126</v>
      </c>
    </row>
    <row r="48" spans="1:15" x14ac:dyDescent="0.25">
      <c r="A48" s="1" t="s">
        <v>122</v>
      </c>
      <c r="B48" s="1" t="s">
        <v>16</v>
      </c>
      <c r="C48" s="1" t="s">
        <v>124</v>
      </c>
      <c r="D48" s="1" t="s">
        <v>127</v>
      </c>
      <c r="E48" s="1" t="s">
        <v>28</v>
      </c>
      <c r="F48" s="1" t="s">
        <v>29</v>
      </c>
      <c r="G48" s="1" t="s">
        <v>17</v>
      </c>
      <c r="H48" s="2">
        <v>46199</v>
      </c>
      <c r="I48" s="1" t="s">
        <v>21</v>
      </c>
      <c r="J48" s="1" t="s">
        <v>24</v>
      </c>
      <c r="K48">
        <v>70</v>
      </c>
      <c r="L48" s="1" t="s">
        <v>126</v>
      </c>
      <c r="M48" s="1" t="s">
        <v>31</v>
      </c>
      <c r="N48">
        <v>57</v>
      </c>
      <c r="O48" s="1" t="s">
        <v>131</v>
      </c>
    </row>
    <row r="49" spans="1:15" x14ac:dyDescent="0.25">
      <c r="A49" s="1" t="s">
        <v>122</v>
      </c>
      <c r="B49" s="1" t="s">
        <v>16</v>
      </c>
      <c r="C49" s="1" t="s">
        <v>128</v>
      </c>
      <c r="D49" s="1" t="s">
        <v>123</v>
      </c>
      <c r="E49" s="1" t="s">
        <v>28</v>
      </c>
      <c r="F49" s="1" t="s">
        <v>29</v>
      </c>
      <c r="G49" s="1" t="s">
        <v>17</v>
      </c>
      <c r="H49" s="2">
        <v>46199</v>
      </c>
      <c r="I49" s="1" t="s">
        <v>21</v>
      </c>
      <c r="J49" s="1" t="s">
        <v>59</v>
      </c>
      <c r="K49">
        <v>17</v>
      </c>
      <c r="L49" s="1" t="s">
        <v>132</v>
      </c>
      <c r="M49" s="1" t="s">
        <v>33</v>
      </c>
      <c r="N49">
        <v>2</v>
      </c>
      <c r="O49" s="1" t="s">
        <v>125</v>
      </c>
    </row>
    <row r="50" spans="1:15" x14ac:dyDescent="0.25">
      <c r="A50" s="1" t="s">
        <v>133</v>
      </c>
      <c r="B50" s="1" t="s">
        <v>16</v>
      </c>
      <c r="C50" s="1" t="s">
        <v>134</v>
      </c>
      <c r="D50" s="1" t="s">
        <v>135</v>
      </c>
      <c r="E50" s="1" t="s">
        <v>57</v>
      </c>
      <c r="F50" s="1" t="s">
        <v>58</v>
      </c>
      <c r="G50" s="1" t="s">
        <v>49</v>
      </c>
      <c r="H50" s="2">
        <v>46189</v>
      </c>
      <c r="I50" s="1" t="s">
        <v>42</v>
      </c>
      <c r="J50" s="1" t="s">
        <v>33</v>
      </c>
      <c r="K50">
        <v>1</v>
      </c>
      <c r="L50" s="1" t="s">
        <v>136</v>
      </c>
      <c r="M50" s="1" t="s">
        <v>24</v>
      </c>
      <c r="N50">
        <v>14</v>
      </c>
      <c r="O50" s="1" t="s">
        <v>137</v>
      </c>
    </row>
    <row r="51" spans="1:15" x14ac:dyDescent="0.25">
      <c r="A51" s="1" t="s">
        <v>133</v>
      </c>
      <c r="B51" s="1" t="s">
        <v>16</v>
      </c>
      <c r="C51" s="1" t="s">
        <v>138</v>
      </c>
      <c r="D51" s="1" t="s">
        <v>139</v>
      </c>
      <c r="E51" s="1" t="s">
        <v>64</v>
      </c>
      <c r="F51" s="1" t="s">
        <v>65</v>
      </c>
      <c r="G51" s="1" t="s">
        <v>49</v>
      </c>
      <c r="H51" s="2">
        <v>46189</v>
      </c>
      <c r="I51" s="1" t="s">
        <v>36</v>
      </c>
      <c r="J51" s="1" t="s">
        <v>31</v>
      </c>
      <c r="K51">
        <v>61</v>
      </c>
      <c r="L51" s="1" t="s">
        <v>140</v>
      </c>
      <c r="M51" s="1" t="s">
        <v>33</v>
      </c>
      <c r="N51">
        <v>44</v>
      </c>
      <c r="O51" s="1" t="s">
        <v>141</v>
      </c>
    </row>
    <row r="52" spans="1:15" x14ac:dyDescent="0.25">
      <c r="A52" s="1" t="s">
        <v>133</v>
      </c>
      <c r="B52" s="1" t="s">
        <v>16</v>
      </c>
      <c r="C52" s="1" t="s">
        <v>134</v>
      </c>
      <c r="D52" s="1" t="s">
        <v>138</v>
      </c>
      <c r="E52" s="1" t="s">
        <v>79</v>
      </c>
      <c r="F52" s="1" t="s">
        <v>80</v>
      </c>
      <c r="G52" s="1" t="s">
        <v>49</v>
      </c>
      <c r="H52" s="2">
        <v>46195</v>
      </c>
      <c r="I52" s="1" t="s">
        <v>142</v>
      </c>
      <c r="J52" s="1" t="s">
        <v>33</v>
      </c>
      <c r="K52">
        <v>1</v>
      </c>
      <c r="L52" s="1" t="s">
        <v>136</v>
      </c>
      <c r="M52" s="1" t="s">
        <v>31</v>
      </c>
      <c r="N52">
        <v>61</v>
      </c>
      <c r="O52" s="1" t="s">
        <v>140</v>
      </c>
    </row>
    <row r="53" spans="1:15" x14ac:dyDescent="0.25">
      <c r="A53" s="1" t="s">
        <v>133</v>
      </c>
      <c r="B53" s="1" t="s">
        <v>16</v>
      </c>
      <c r="C53" s="1" t="s">
        <v>139</v>
      </c>
      <c r="D53" s="1" t="s">
        <v>135</v>
      </c>
      <c r="E53" s="1" t="s">
        <v>64</v>
      </c>
      <c r="F53" s="1" t="s">
        <v>65</v>
      </c>
      <c r="G53" s="1" t="s">
        <v>49</v>
      </c>
      <c r="H53" s="2">
        <v>46195</v>
      </c>
      <c r="I53" s="1" t="s">
        <v>21</v>
      </c>
      <c r="J53" s="1" t="s">
        <v>33</v>
      </c>
      <c r="K53">
        <v>44</v>
      </c>
      <c r="L53" s="1" t="s">
        <v>141</v>
      </c>
      <c r="M53" s="1" t="s">
        <v>24</v>
      </c>
      <c r="N53">
        <v>14</v>
      </c>
      <c r="O53" s="1" t="s">
        <v>137</v>
      </c>
    </row>
    <row r="54" spans="1:15" x14ac:dyDescent="0.25">
      <c r="A54" s="1" t="s">
        <v>133</v>
      </c>
      <c r="B54" s="1" t="s">
        <v>16</v>
      </c>
      <c r="C54" s="1" t="s">
        <v>139</v>
      </c>
      <c r="D54" s="1" t="s">
        <v>134</v>
      </c>
      <c r="E54" s="1" t="s">
        <v>57</v>
      </c>
      <c r="F54" s="1" t="s">
        <v>58</v>
      </c>
      <c r="G54" s="1" t="s">
        <v>49</v>
      </c>
      <c r="H54" s="2">
        <v>46199</v>
      </c>
      <c r="I54" s="1" t="s">
        <v>42</v>
      </c>
      <c r="J54" s="1" t="s">
        <v>33</v>
      </c>
      <c r="K54">
        <v>44</v>
      </c>
      <c r="L54" s="1" t="s">
        <v>141</v>
      </c>
      <c r="M54" s="1" t="s">
        <v>33</v>
      </c>
      <c r="N54">
        <v>1</v>
      </c>
      <c r="O54" s="1" t="s">
        <v>136</v>
      </c>
    </row>
    <row r="55" spans="1:15" x14ac:dyDescent="0.25">
      <c r="A55" s="1" t="s">
        <v>133</v>
      </c>
      <c r="B55" s="1" t="s">
        <v>16</v>
      </c>
      <c r="C55" s="1" t="s">
        <v>135</v>
      </c>
      <c r="D55" s="1" t="s">
        <v>138</v>
      </c>
      <c r="E55" s="1" t="s">
        <v>57</v>
      </c>
      <c r="F55" s="1" t="s">
        <v>58</v>
      </c>
      <c r="G55" s="1" t="s">
        <v>49</v>
      </c>
      <c r="H55" s="2">
        <v>46199</v>
      </c>
      <c r="I55" s="1" t="s">
        <v>42</v>
      </c>
      <c r="J55" s="1" t="s">
        <v>24</v>
      </c>
      <c r="K55">
        <v>14</v>
      </c>
      <c r="L55" s="1" t="s">
        <v>137</v>
      </c>
      <c r="M55" s="1" t="s">
        <v>31</v>
      </c>
      <c r="N55">
        <v>61</v>
      </c>
      <c r="O55" s="1" t="s">
        <v>140</v>
      </c>
    </row>
    <row r="56" spans="1:15" x14ac:dyDescent="0.25">
      <c r="A56" s="1" t="s">
        <v>143</v>
      </c>
      <c r="B56" s="1" t="s">
        <v>16</v>
      </c>
      <c r="C56" s="1" t="s">
        <v>144</v>
      </c>
      <c r="D56" s="1" t="s">
        <v>145</v>
      </c>
      <c r="E56" s="1" t="s">
        <v>146</v>
      </c>
      <c r="F56" s="1" t="s">
        <v>147</v>
      </c>
      <c r="G56" s="1" t="s">
        <v>49</v>
      </c>
      <c r="H56" s="2">
        <v>46189</v>
      </c>
      <c r="I56" s="1" t="s">
        <v>35</v>
      </c>
      <c r="J56" s="1" t="s">
        <v>59</v>
      </c>
      <c r="K56">
        <v>3</v>
      </c>
      <c r="L56" s="1" t="s">
        <v>148</v>
      </c>
      <c r="M56" s="1" t="s">
        <v>24</v>
      </c>
      <c r="N56">
        <v>36</v>
      </c>
      <c r="O56" s="1" t="s">
        <v>149</v>
      </c>
    </row>
    <row r="57" spans="1:15" x14ac:dyDescent="0.25">
      <c r="A57" s="1" t="s">
        <v>143</v>
      </c>
      <c r="B57" s="1" t="s">
        <v>16</v>
      </c>
      <c r="C57" s="1" t="s">
        <v>150</v>
      </c>
      <c r="D57" s="1" t="s">
        <v>151</v>
      </c>
      <c r="E57" s="1" t="s">
        <v>82</v>
      </c>
      <c r="F57" s="1" t="s">
        <v>83</v>
      </c>
      <c r="G57" s="1" t="s">
        <v>49</v>
      </c>
      <c r="H57" s="2">
        <v>46190</v>
      </c>
      <c r="I57" s="1" t="s">
        <v>81</v>
      </c>
      <c r="J57" s="1" t="s">
        <v>33</v>
      </c>
      <c r="K57">
        <v>23</v>
      </c>
      <c r="L57" s="1" t="s">
        <v>152</v>
      </c>
      <c r="M57" s="1" t="s">
        <v>31</v>
      </c>
      <c r="N57">
        <v>68</v>
      </c>
      <c r="O57" s="1" t="s">
        <v>153</v>
      </c>
    </row>
    <row r="58" spans="1:15" x14ac:dyDescent="0.25">
      <c r="A58" s="1" t="s">
        <v>143</v>
      </c>
      <c r="B58" s="1" t="s">
        <v>16</v>
      </c>
      <c r="C58" s="1" t="s">
        <v>144</v>
      </c>
      <c r="D58" s="1" t="s">
        <v>150</v>
      </c>
      <c r="E58" s="1" t="s">
        <v>82</v>
      </c>
      <c r="F58" s="1" t="s">
        <v>83</v>
      </c>
      <c r="G58" s="1" t="s">
        <v>49</v>
      </c>
      <c r="H58" s="2">
        <v>46195</v>
      </c>
      <c r="I58" s="1" t="s">
        <v>89</v>
      </c>
      <c r="J58" s="1" t="s">
        <v>59</v>
      </c>
      <c r="K58">
        <v>3</v>
      </c>
      <c r="L58" s="1" t="s">
        <v>148</v>
      </c>
      <c r="M58" s="1" t="s">
        <v>33</v>
      </c>
      <c r="N58">
        <v>23</v>
      </c>
      <c r="O58" s="1" t="s">
        <v>152</v>
      </c>
    </row>
    <row r="59" spans="1:15" x14ac:dyDescent="0.25">
      <c r="A59" s="1" t="s">
        <v>143</v>
      </c>
      <c r="B59" s="1" t="s">
        <v>16</v>
      </c>
      <c r="C59" s="1" t="s">
        <v>151</v>
      </c>
      <c r="D59" s="1" t="s">
        <v>145</v>
      </c>
      <c r="E59" s="1" t="s">
        <v>82</v>
      </c>
      <c r="F59" s="1" t="s">
        <v>83</v>
      </c>
      <c r="G59" s="1" t="s">
        <v>49</v>
      </c>
      <c r="H59" s="2">
        <v>46196</v>
      </c>
      <c r="I59" s="1" t="s">
        <v>154</v>
      </c>
      <c r="J59" s="1" t="s">
        <v>31</v>
      </c>
      <c r="K59">
        <v>68</v>
      </c>
      <c r="L59" s="1" t="s">
        <v>153</v>
      </c>
      <c r="M59" s="1" t="s">
        <v>24</v>
      </c>
      <c r="N59">
        <v>36</v>
      </c>
      <c r="O59" s="1" t="s">
        <v>149</v>
      </c>
    </row>
    <row r="60" spans="1:15" x14ac:dyDescent="0.25">
      <c r="A60" s="1" t="s">
        <v>143</v>
      </c>
      <c r="B60" s="1" t="s">
        <v>16</v>
      </c>
      <c r="C60" s="1" t="s">
        <v>145</v>
      </c>
      <c r="D60" s="1" t="s">
        <v>150</v>
      </c>
      <c r="E60" s="1" t="s">
        <v>146</v>
      </c>
      <c r="F60" s="1" t="s">
        <v>147</v>
      </c>
      <c r="G60" s="1" t="s">
        <v>49</v>
      </c>
      <c r="H60" s="2">
        <v>46200</v>
      </c>
      <c r="I60" s="1" t="s">
        <v>30</v>
      </c>
      <c r="J60" s="1" t="s">
        <v>24</v>
      </c>
      <c r="K60">
        <v>36</v>
      </c>
      <c r="L60" s="1" t="s">
        <v>149</v>
      </c>
      <c r="M60" s="1" t="s">
        <v>33</v>
      </c>
      <c r="N60">
        <v>23</v>
      </c>
      <c r="O60" s="1" t="s">
        <v>152</v>
      </c>
    </row>
    <row r="61" spans="1:15" x14ac:dyDescent="0.25">
      <c r="A61" s="1" t="s">
        <v>143</v>
      </c>
      <c r="B61" s="1" t="s">
        <v>16</v>
      </c>
      <c r="C61" s="1" t="s">
        <v>151</v>
      </c>
      <c r="D61" s="1" t="s">
        <v>144</v>
      </c>
      <c r="E61" s="1" t="s">
        <v>82</v>
      </c>
      <c r="F61" s="1" t="s">
        <v>83</v>
      </c>
      <c r="G61" s="1" t="s">
        <v>49</v>
      </c>
      <c r="H61" s="2">
        <v>46200</v>
      </c>
      <c r="I61" s="1" t="s">
        <v>30</v>
      </c>
      <c r="J61" s="1" t="s">
        <v>31</v>
      </c>
      <c r="K61">
        <v>68</v>
      </c>
      <c r="L61" s="1" t="s">
        <v>153</v>
      </c>
      <c r="M61" s="1" t="s">
        <v>59</v>
      </c>
      <c r="N61">
        <v>3</v>
      </c>
      <c r="O61" s="1" t="s">
        <v>148</v>
      </c>
    </row>
    <row r="62" spans="1:15" x14ac:dyDescent="0.25">
      <c r="A62" s="1" t="s">
        <v>155</v>
      </c>
      <c r="B62" s="1" t="s">
        <v>16</v>
      </c>
      <c r="C62" s="1" t="s">
        <v>156</v>
      </c>
      <c r="D62" s="1" t="s">
        <v>157</v>
      </c>
      <c r="E62" s="1" t="s">
        <v>87</v>
      </c>
      <c r="F62" s="1" t="s">
        <v>88</v>
      </c>
      <c r="G62" s="1" t="s">
        <v>49</v>
      </c>
      <c r="H62" s="2">
        <v>46190</v>
      </c>
      <c r="I62" s="1" t="s">
        <v>89</v>
      </c>
      <c r="J62" s="1" t="s">
        <v>33</v>
      </c>
      <c r="K62">
        <v>5</v>
      </c>
      <c r="L62" s="1" t="s">
        <v>158</v>
      </c>
      <c r="M62" s="1" t="s">
        <v>24</v>
      </c>
      <c r="N62">
        <v>51</v>
      </c>
      <c r="O62" s="1" t="s">
        <v>159</v>
      </c>
    </row>
    <row r="63" spans="1:15" x14ac:dyDescent="0.25">
      <c r="A63" s="1" t="s">
        <v>155</v>
      </c>
      <c r="B63" s="1" t="s">
        <v>16</v>
      </c>
      <c r="C63" s="1" t="s">
        <v>160</v>
      </c>
      <c r="D63" s="1" t="s">
        <v>161</v>
      </c>
      <c r="E63" s="1" t="s">
        <v>19</v>
      </c>
      <c r="F63" s="1" t="s">
        <v>20</v>
      </c>
      <c r="G63" s="1" t="s">
        <v>17</v>
      </c>
      <c r="H63" s="2">
        <v>46190</v>
      </c>
      <c r="I63" s="1" t="s">
        <v>30</v>
      </c>
      <c r="J63" s="1" t="s">
        <v>31</v>
      </c>
      <c r="K63">
        <v>62</v>
      </c>
      <c r="L63" s="1" t="s">
        <v>162</v>
      </c>
      <c r="M63" s="1" t="s">
        <v>59</v>
      </c>
      <c r="N63">
        <v>13</v>
      </c>
      <c r="O63" s="1" t="s">
        <v>163</v>
      </c>
    </row>
    <row r="64" spans="1:15" x14ac:dyDescent="0.25">
      <c r="A64" s="1" t="s">
        <v>155</v>
      </c>
      <c r="B64" s="1" t="s">
        <v>16</v>
      </c>
      <c r="C64" s="1" t="s">
        <v>156</v>
      </c>
      <c r="D64" s="1" t="s">
        <v>160</v>
      </c>
      <c r="E64" s="1" t="s">
        <v>146</v>
      </c>
      <c r="F64" s="1" t="s">
        <v>147</v>
      </c>
      <c r="G64" s="1" t="s">
        <v>49</v>
      </c>
      <c r="H64" s="2">
        <v>46196</v>
      </c>
      <c r="I64" s="1" t="s">
        <v>89</v>
      </c>
      <c r="J64" s="1" t="s">
        <v>33</v>
      </c>
      <c r="K64">
        <v>5</v>
      </c>
      <c r="L64" s="1" t="s">
        <v>158</v>
      </c>
      <c r="M64" s="1" t="s">
        <v>31</v>
      </c>
      <c r="N64">
        <v>62</v>
      </c>
      <c r="O64" s="1" t="s">
        <v>162</v>
      </c>
    </row>
    <row r="65" spans="1:15" x14ac:dyDescent="0.25">
      <c r="A65" s="1" t="s">
        <v>155</v>
      </c>
      <c r="B65" s="1" t="s">
        <v>16</v>
      </c>
      <c r="C65" s="1" t="s">
        <v>161</v>
      </c>
      <c r="D65" s="1" t="s">
        <v>157</v>
      </c>
      <c r="E65" s="1" t="s">
        <v>146</v>
      </c>
      <c r="F65" s="1" t="s">
        <v>147</v>
      </c>
      <c r="G65" s="1" t="s">
        <v>49</v>
      </c>
      <c r="H65" s="2">
        <v>46196</v>
      </c>
      <c r="I65" s="1" t="s">
        <v>102</v>
      </c>
      <c r="J65" s="1" t="s">
        <v>59</v>
      </c>
      <c r="K65">
        <v>13</v>
      </c>
      <c r="L65" s="1" t="s">
        <v>163</v>
      </c>
      <c r="M65" s="1" t="s">
        <v>24</v>
      </c>
      <c r="N65">
        <v>51</v>
      </c>
      <c r="O65" s="1" t="s">
        <v>159</v>
      </c>
    </row>
    <row r="66" spans="1:15" x14ac:dyDescent="0.25">
      <c r="A66" s="1" t="s">
        <v>155</v>
      </c>
      <c r="B66" s="1" t="s">
        <v>16</v>
      </c>
      <c r="C66" s="1" t="s">
        <v>161</v>
      </c>
      <c r="D66" s="1" t="s">
        <v>156</v>
      </c>
      <c r="E66" s="1" t="s">
        <v>129</v>
      </c>
      <c r="F66" s="1" t="s">
        <v>130</v>
      </c>
      <c r="G66" s="1" t="s">
        <v>49</v>
      </c>
      <c r="H66" s="2">
        <v>46200</v>
      </c>
      <c r="I66" s="1" t="s">
        <v>21</v>
      </c>
      <c r="J66" s="1" t="s">
        <v>59</v>
      </c>
      <c r="K66">
        <v>13</v>
      </c>
      <c r="L66" s="1" t="s">
        <v>163</v>
      </c>
      <c r="M66" s="1" t="s">
        <v>33</v>
      </c>
      <c r="N66">
        <v>5</v>
      </c>
      <c r="O66" s="1" t="s">
        <v>158</v>
      </c>
    </row>
    <row r="67" spans="1:15" x14ac:dyDescent="0.25">
      <c r="A67" s="1" t="s">
        <v>155</v>
      </c>
      <c r="B67" s="1" t="s">
        <v>16</v>
      </c>
      <c r="C67" s="1" t="s">
        <v>157</v>
      </c>
      <c r="D67" s="1" t="s">
        <v>160</v>
      </c>
      <c r="E67" s="1" t="s">
        <v>129</v>
      </c>
      <c r="F67" s="1" t="s">
        <v>130</v>
      </c>
      <c r="G67" s="1" t="s">
        <v>49</v>
      </c>
      <c r="H67" s="2">
        <v>46200</v>
      </c>
      <c r="I67" s="1" t="s">
        <v>21</v>
      </c>
      <c r="J67" s="1" t="s">
        <v>24</v>
      </c>
      <c r="K67">
        <v>51</v>
      </c>
      <c r="L67" s="1" t="s">
        <v>159</v>
      </c>
      <c r="M67" s="1" t="s">
        <v>31</v>
      </c>
      <c r="N67">
        <v>62</v>
      </c>
      <c r="O67" s="1" t="s">
        <v>162</v>
      </c>
    </row>
    <row r="68" spans="1:15" x14ac:dyDescent="0.25">
      <c r="A68" s="1" t="s">
        <v>164</v>
      </c>
      <c r="B68" s="1" t="s">
        <v>16</v>
      </c>
      <c r="C68" s="1" t="s">
        <v>165</v>
      </c>
      <c r="D68" s="1" t="s">
        <v>166</v>
      </c>
      <c r="E68" s="1" t="s">
        <v>82</v>
      </c>
      <c r="F68" s="1" t="s">
        <v>83</v>
      </c>
      <c r="G68" s="1" t="s">
        <v>49</v>
      </c>
      <c r="H68" s="2">
        <v>46190</v>
      </c>
      <c r="I68" s="1" t="s">
        <v>42</v>
      </c>
      <c r="J68" s="1" t="s">
        <v>33</v>
      </c>
      <c r="K68">
        <v>4</v>
      </c>
      <c r="L68" s="1" t="s">
        <v>167</v>
      </c>
      <c r="M68" s="1" t="s">
        <v>33</v>
      </c>
      <c r="N68">
        <v>11</v>
      </c>
      <c r="O68" s="1" t="s">
        <v>168</v>
      </c>
    </row>
    <row r="69" spans="1:15" x14ac:dyDescent="0.25">
      <c r="A69" s="1" t="s">
        <v>164</v>
      </c>
      <c r="B69" s="1" t="s">
        <v>16</v>
      </c>
      <c r="C69" s="1" t="s">
        <v>169</v>
      </c>
      <c r="D69" s="1" t="s">
        <v>170</v>
      </c>
      <c r="E69" s="1" t="s">
        <v>40</v>
      </c>
      <c r="F69" s="1" t="s">
        <v>41</v>
      </c>
      <c r="G69" s="1" t="s">
        <v>38</v>
      </c>
      <c r="H69" s="2">
        <v>46190</v>
      </c>
      <c r="I69" s="1" t="s">
        <v>36</v>
      </c>
      <c r="J69" s="1" t="s">
        <v>24</v>
      </c>
      <c r="K69">
        <v>65</v>
      </c>
      <c r="L69" s="1" t="s">
        <v>171</v>
      </c>
      <c r="M69" s="1" t="s">
        <v>22</v>
      </c>
      <c r="N69">
        <v>53</v>
      </c>
      <c r="O69" s="1" t="s">
        <v>172</v>
      </c>
    </row>
    <row r="70" spans="1:15" x14ac:dyDescent="0.25">
      <c r="A70" s="1" t="s">
        <v>164</v>
      </c>
      <c r="B70" s="1" t="s">
        <v>16</v>
      </c>
      <c r="C70" s="1" t="s">
        <v>165</v>
      </c>
      <c r="D70" s="1" t="s">
        <v>169</v>
      </c>
      <c r="E70" s="1" t="s">
        <v>64</v>
      </c>
      <c r="F70" s="1" t="s">
        <v>65</v>
      </c>
      <c r="G70" s="1" t="s">
        <v>49</v>
      </c>
      <c r="H70" s="2">
        <v>46196</v>
      </c>
      <c r="I70" s="1" t="s">
        <v>94</v>
      </c>
      <c r="J70" s="1" t="s">
        <v>33</v>
      </c>
      <c r="K70">
        <v>4</v>
      </c>
      <c r="L70" s="1" t="s">
        <v>167</v>
      </c>
      <c r="M70" s="1" t="s">
        <v>24</v>
      </c>
      <c r="N70">
        <v>65</v>
      </c>
      <c r="O70" s="1" t="s">
        <v>171</v>
      </c>
    </row>
    <row r="71" spans="1:15" x14ac:dyDescent="0.25">
      <c r="A71" s="1" t="s">
        <v>164</v>
      </c>
      <c r="B71" s="1" t="s">
        <v>16</v>
      </c>
      <c r="C71" s="1" t="s">
        <v>166</v>
      </c>
      <c r="D71" s="1" t="s">
        <v>170</v>
      </c>
      <c r="E71" s="1" t="s">
        <v>40</v>
      </c>
      <c r="F71" s="1" t="s">
        <v>41</v>
      </c>
      <c r="G71" s="1" t="s">
        <v>38</v>
      </c>
      <c r="H71" s="2">
        <v>46196</v>
      </c>
      <c r="I71" s="1" t="s">
        <v>35</v>
      </c>
      <c r="J71" s="1" t="s">
        <v>33</v>
      </c>
      <c r="K71">
        <v>11</v>
      </c>
      <c r="L71" s="1" t="s">
        <v>168</v>
      </c>
      <c r="M71" s="1" t="s">
        <v>22</v>
      </c>
      <c r="N71">
        <v>53</v>
      </c>
      <c r="O71" s="1" t="s">
        <v>172</v>
      </c>
    </row>
    <row r="72" spans="1:15" x14ac:dyDescent="0.25">
      <c r="A72" s="1" t="s">
        <v>164</v>
      </c>
      <c r="B72" s="1" t="s">
        <v>16</v>
      </c>
      <c r="C72" s="1" t="s">
        <v>170</v>
      </c>
      <c r="D72" s="1" t="s">
        <v>165</v>
      </c>
      <c r="E72" s="1" t="s">
        <v>57</v>
      </c>
      <c r="F72" s="1" t="s">
        <v>58</v>
      </c>
      <c r="G72" s="1" t="s">
        <v>49</v>
      </c>
      <c r="H72" s="2">
        <v>46200</v>
      </c>
      <c r="I72" s="1" t="s">
        <v>42</v>
      </c>
      <c r="J72" s="1" t="s">
        <v>22</v>
      </c>
      <c r="K72">
        <v>53</v>
      </c>
      <c r="L72" s="1" t="s">
        <v>172</v>
      </c>
      <c r="M72" s="1" t="s">
        <v>33</v>
      </c>
      <c r="N72">
        <v>4</v>
      </c>
      <c r="O72" s="1" t="s">
        <v>167</v>
      </c>
    </row>
    <row r="73" spans="1:15" x14ac:dyDescent="0.25">
      <c r="A73" s="1" t="s">
        <v>164</v>
      </c>
      <c r="B73" s="1" t="s">
        <v>16</v>
      </c>
      <c r="C73" s="1" t="s">
        <v>166</v>
      </c>
      <c r="D73" s="1" t="s">
        <v>169</v>
      </c>
      <c r="E73" s="1" t="s">
        <v>57</v>
      </c>
      <c r="F73" s="1" t="s">
        <v>58</v>
      </c>
      <c r="G73" s="1" t="s">
        <v>49</v>
      </c>
      <c r="H73" s="2">
        <v>46200</v>
      </c>
      <c r="I73" s="1" t="s">
        <v>42</v>
      </c>
      <c r="J73" s="1" t="s">
        <v>33</v>
      </c>
      <c r="K73">
        <v>11</v>
      </c>
      <c r="L73" s="1" t="s">
        <v>168</v>
      </c>
      <c r="M73" s="1" t="s">
        <v>24</v>
      </c>
      <c r="N73">
        <v>65</v>
      </c>
      <c r="O73" s="1" t="s">
        <v>171</v>
      </c>
    </row>
    <row r="74" spans="1:15" x14ac:dyDescent="0.25">
      <c r="A74" s="1" t="s">
        <v>173</v>
      </c>
      <c r="B74" s="1" t="s">
        <v>174</v>
      </c>
      <c r="C74" s="1" t="s">
        <v>175</v>
      </c>
      <c r="D74" s="1" t="s">
        <v>176</v>
      </c>
      <c r="E74" s="1" t="s">
        <v>57</v>
      </c>
      <c r="F74" s="1" t="s">
        <v>58</v>
      </c>
      <c r="G74" s="1" t="s">
        <v>49</v>
      </c>
      <c r="H74" s="2">
        <v>46201</v>
      </c>
      <c r="I74" s="1" t="s">
        <v>177</v>
      </c>
      <c r="J74" s="1" t="s">
        <v>173</v>
      </c>
      <c r="L74" s="1" t="s">
        <v>173</v>
      </c>
      <c r="M74" s="1" t="s">
        <v>173</v>
      </c>
      <c r="O74" s="1" t="s">
        <v>173</v>
      </c>
    </row>
    <row r="75" spans="1:15" x14ac:dyDescent="0.25">
      <c r="A75" s="1" t="s">
        <v>173</v>
      </c>
      <c r="B75" s="1" t="s">
        <v>174</v>
      </c>
      <c r="C75" s="1" t="s">
        <v>178</v>
      </c>
      <c r="D75" s="1" t="s">
        <v>179</v>
      </c>
      <c r="E75" s="1" t="s">
        <v>82</v>
      </c>
      <c r="F75" s="1" t="s">
        <v>83</v>
      </c>
      <c r="G75" s="1" t="s">
        <v>49</v>
      </c>
      <c r="H75" s="2">
        <v>46201</v>
      </c>
      <c r="I75" s="1" t="s">
        <v>177</v>
      </c>
      <c r="J75" s="1" t="s">
        <v>173</v>
      </c>
      <c r="L75" s="1" t="s">
        <v>173</v>
      </c>
      <c r="M75" s="1" t="s">
        <v>173</v>
      </c>
      <c r="O75" s="1" t="s">
        <v>173</v>
      </c>
    </row>
    <row r="76" spans="1:15" x14ac:dyDescent="0.25">
      <c r="A76" s="1" t="s">
        <v>173</v>
      </c>
      <c r="B76" s="1" t="s">
        <v>174</v>
      </c>
      <c r="C76" s="1" t="s">
        <v>180</v>
      </c>
      <c r="D76" s="1" t="s">
        <v>181</v>
      </c>
      <c r="E76" s="1" t="s">
        <v>87</v>
      </c>
      <c r="F76" s="1" t="s">
        <v>88</v>
      </c>
      <c r="G76" s="1" t="s">
        <v>49</v>
      </c>
      <c r="H76" s="2">
        <v>46202</v>
      </c>
      <c r="I76" s="1" t="s">
        <v>177</v>
      </c>
      <c r="J76" s="1" t="s">
        <v>173</v>
      </c>
      <c r="L76" s="1" t="s">
        <v>173</v>
      </c>
      <c r="M76" s="1" t="s">
        <v>173</v>
      </c>
      <c r="O76" s="1" t="s">
        <v>173</v>
      </c>
    </row>
    <row r="77" spans="1:15" x14ac:dyDescent="0.25">
      <c r="A77" s="1" t="s">
        <v>173</v>
      </c>
      <c r="B77" s="1" t="s">
        <v>174</v>
      </c>
      <c r="C77" s="1" t="s">
        <v>182</v>
      </c>
      <c r="D77" s="1" t="s">
        <v>183</v>
      </c>
      <c r="E77" s="1" t="s">
        <v>184</v>
      </c>
      <c r="F77" s="1" t="s">
        <v>185</v>
      </c>
      <c r="G77" s="1" t="s">
        <v>49</v>
      </c>
      <c r="H77" s="2">
        <v>46202</v>
      </c>
      <c r="I77" s="1" t="s">
        <v>177</v>
      </c>
      <c r="J77" s="1" t="s">
        <v>173</v>
      </c>
      <c r="L77" s="1" t="s">
        <v>173</v>
      </c>
      <c r="M77" s="1" t="s">
        <v>173</v>
      </c>
      <c r="O77" s="1" t="s">
        <v>173</v>
      </c>
    </row>
    <row r="78" spans="1:15" x14ac:dyDescent="0.25">
      <c r="A78" s="1" t="s">
        <v>173</v>
      </c>
      <c r="B78" s="1" t="s">
        <v>174</v>
      </c>
      <c r="C78" s="1" t="s">
        <v>186</v>
      </c>
      <c r="D78" s="1" t="s">
        <v>187</v>
      </c>
      <c r="E78" s="1" t="s">
        <v>70</v>
      </c>
      <c r="F78" s="1" t="s">
        <v>71</v>
      </c>
      <c r="G78" s="1" t="s">
        <v>49</v>
      </c>
      <c r="H78" s="2">
        <v>46203</v>
      </c>
      <c r="I78" s="1" t="s">
        <v>177</v>
      </c>
      <c r="J78" s="1" t="s">
        <v>173</v>
      </c>
      <c r="L78" s="1" t="s">
        <v>173</v>
      </c>
      <c r="M78" s="1" t="s">
        <v>173</v>
      </c>
      <c r="O78" s="1" t="s">
        <v>173</v>
      </c>
    </row>
    <row r="79" spans="1:15" x14ac:dyDescent="0.25">
      <c r="A79" s="1" t="s">
        <v>173</v>
      </c>
      <c r="B79" s="1" t="s">
        <v>174</v>
      </c>
      <c r="C79" s="1" t="s">
        <v>188</v>
      </c>
      <c r="D79" s="1" t="s">
        <v>189</v>
      </c>
      <c r="E79" s="1" t="s">
        <v>47</v>
      </c>
      <c r="F79" s="1" t="s">
        <v>48</v>
      </c>
      <c r="G79" s="1" t="s">
        <v>49</v>
      </c>
      <c r="H79" s="2">
        <v>46203</v>
      </c>
      <c r="I79" s="1" t="s">
        <v>177</v>
      </c>
      <c r="J79" s="1" t="s">
        <v>173</v>
      </c>
      <c r="L79" s="1" t="s">
        <v>173</v>
      </c>
      <c r="M79" s="1" t="s">
        <v>173</v>
      </c>
      <c r="O79" s="1" t="s">
        <v>173</v>
      </c>
    </row>
    <row r="80" spans="1:15" x14ac:dyDescent="0.25">
      <c r="A80" s="1" t="s">
        <v>173</v>
      </c>
      <c r="B80" s="1" t="s">
        <v>174</v>
      </c>
      <c r="C80" s="1" t="s">
        <v>190</v>
      </c>
      <c r="D80" s="1" t="s">
        <v>191</v>
      </c>
      <c r="E80" s="1" t="s">
        <v>97</v>
      </c>
      <c r="F80" s="1" t="s">
        <v>98</v>
      </c>
      <c r="G80" s="1" t="s">
        <v>49</v>
      </c>
      <c r="H80" s="2">
        <v>46204</v>
      </c>
      <c r="I80" s="1" t="s">
        <v>177</v>
      </c>
      <c r="J80" s="1" t="s">
        <v>173</v>
      </c>
      <c r="L80" s="1" t="s">
        <v>173</v>
      </c>
      <c r="M80" s="1" t="s">
        <v>173</v>
      </c>
      <c r="O80" s="1" t="s">
        <v>173</v>
      </c>
    </row>
    <row r="81" spans="1:15" x14ac:dyDescent="0.25">
      <c r="A81" s="1" t="s">
        <v>173</v>
      </c>
      <c r="B81" s="1" t="s">
        <v>174</v>
      </c>
      <c r="C81" s="1" t="s">
        <v>192</v>
      </c>
      <c r="D81" s="1" t="s">
        <v>193</v>
      </c>
      <c r="E81" s="1" t="s">
        <v>129</v>
      </c>
      <c r="F81" s="1" t="s">
        <v>130</v>
      </c>
      <c r="G81" s="1" t="s">
        <v>49</v>
      </c>
      <c r="H81" s="2">
        <v>46204</v>
      </c>
      <c r="I81" s="1" t="s">
        <v>177</v>
      </c>
      <c r="J81" s="1" t="s">
        <v>173</v>
      </c>
      <c r="L81" s="1" t="s">
        <v>173</v>
      </c>
      <c r="M81" s="1" t="s">
        <v>173</v>
      </c>
      <c r="O81" s="1" t="s">
        <v>173</v>
      </c>
    </row>
    <row r="82" spans="1:15" x14ac:dyDescent="0.25">
      <c r="A82" s="1" t="s">
        <v>173</v>
      </c>
      <c r="B82" s="1" t="s">
        <v>174</v>
      </c>
      <c r="C82" s="1" t="s">
        <v>194</v>
      </c>
      <c r="D82" s="1" t="s">
        <v>195</v>
      </c>
      <c r="E82" s="1" t="s">
        <v>79</v>
      </c>
      <c r="F82" s="1" t="s">
        <v>80</v>
      </c>
      <c r="G82" s="1" t="s">
        <v>49</v>
      </c>
      <c r="H82" s="2">
        <v>46205</v>
      </c>
      <c r="I82" s="1" t="s">
        <v>177</v>
      </c>
      <c r="J82" s="1" t="s">
        <v>173</v>
      </c>
      <c r="L82" s="1" t="s">
        <v>173</v>
      </c>
      <c r="M82" s="1" t="s">
        <v>173</v>
      </c>
      <c r="O82" s="1" t="s">
        <v>173</v>
      </c>
    </row>
    <row r="83" spans="1:15" x14ac:dyDescent="0.25">
      <c r="A83" s="1" t="s">
        <v>173</v>
      </c>
      <c r="B83" s="1" t="s">
        <v>174</v>
      </c>
      <c r="C83" s="1" t="s">
        <v>196</v>
      </c>
      <c r="D83" s="1" t="s">
        <v>197</v>
      </c>
      <c r="E83" s="1" t="s">
        <v>146</v>
      </c>
      <c r="F83" s="1" t="s">
        <v>147</v>
      </c>
      <c r="G83" s="1" t="s">
        <v>49</v>
      </c>
      <c r="H83" s="2">
        <v>46205</v>
      </c>
      <c r="I83" s="1" t="s">
        <v>177</v>
      </c>
      <c r="J83" s="1" t="s">
        <v>173</v>
      </c>
      <c r="L83" s="1" t="s">
        <v>173</v>
      </c>
      <c r="M83" s="1" t="s">
        <v>173</v>
      </c>
      <c r="O83" s="1" t="s">
        <v>173</v>
      </c>
    </row>
    <row r="84" spans="1:15" x14ac:dyDescent="0.25">
      <c r="A84" s="1" t="s">
        <v>173</v>
      </c>
      <c r="B84" s="1" t="s">
        <v>174</v>
      </c>
      <c r="C84" s="1" t="s">
        <v>198</v>
      </c>
      <c r="D84" s="1" t="s">
        <v>199</v>
      </c>
      <c r="E84" s="1" t="s">
        <v>64</v>
      </c>
      <c r="F84" s="1" t="s">
        <v>65</v>
      </c>
      <c r="G84" s="1" t="s">
        <v>49</v>
      </c>
      <c r="H84" s="2">
        <v>46206</v>
      </c>
      <c r="I84" s="1" t="s">
        <v>177</v>
      </c>
      <c r="J84" s="1" t="s">
        <v>173</v>
      </c>
      <c r="L84" s="1" t="s">
        <v>173</v>
      </c>
      <c r="M84" s="1" t="s">
        <v>173</v>
      </c>
      <c r="O84" s="1" t="s">
        <v>173</v>
      </c>
    </row>
    <row r="85" spans="1:15" x14ac:dyDescent="0.25">
      <c r="A85" s="1" t="s">
        <v>173</v>
      </c>
      <c r="B85" s="1" t="s">
        <v>174</v>
      </c>
      <c r="C85" s="1" t="s">
        <v>200</v>
      </c>
      <c r="D85" s="1" t="s">
        <v>201</v>
      </c>
      <c r="E85" s="1" t="s">
        <v>52</v>
      </c>
      <c r="F85" s="1" t="s">
        <v>53</v>
      </c>
      <c r="G85" s="1" t="s">
        <v>38</v>
      </c>
      <c r="H85" s="2">
        <v>46206</v>
      </c>
      <c r="I85" s="1" t="s">
        <v>177</v>
      </c>
      <c r="J85" s="1" t="s">
        <v>173</v>
      </c>
      <c r="L85" s="1" t="s">
        <v>173</v>
      </c>
      <c r="M85" s="1" t="s">
        <v>173</v>
      </c>
      <c r="O85" s="1" t="s">
        <v>173</v>
      </c>
    </row>
    <row r="86" spans="1:15" x14ac:dyDescent="0.25">
      <c r="A86" s="1" t="s">
        <v>173</v>
      </c>
      <c r="B86" s="1" t="s">
        <v>174</v>
      </c>
      <c r="C86" s="1" t="s">
        <v>202</v>
      </c>
      <c r="D86" s="1" t="s">
        <v>203</v>
      </c>
      <c r="E86" s="1" t="s">
        <v>40</v>
      </c>
      <c r="F86" s="1" t="s">
        <v>41</v>
      </c>
      <c r="G86" s="1" t="s">
        <v>38</v>
      </c>
      <c r="H86" s="2">
        <v>46206</v>
      </c>
      <c r="I86" s="1" t="s">
        <v>177</v>
      </c>
      <c r="J86" s="1" t="s">
        <v>173</v>
      </c>
      <c r="L86" s="1" t="s">
        <v>173</v>
      </c>
      <c r="M86" s="1" t="s">
        <v>173</v>
      </c>
      <c r="O86" s="1" t="s">
        <v>173</v>
      </c>
    </row>
    <row r="87" spans="1:15" x14ac:dyDescent="0.25">
      <c r="A87" s="1" t="s">
        <v>173</v>
      </c>
      <c r="B87" s="1" t="s">
        <v>174</v>
      </c>
      <c r="C87" s="1" t="s">
        <v>204</v>
      </c>
      <c r="D87" s="1" t="s">
        <v>205</v>
      </c>
      <c r="E87" s="1" t="s">
        <v>107</v>
      </c>
      <c r="F87" s="1" t="s">
        <v>108</v>
      </c>
      <c r="G87" s="1" t="s">
        <v>17</v>
      </c>
      <c r="H87" s="2">
        <v>46206</v>
      </c>
      <c r="I87" s="1" t="s">
        <v>177</v>
      </c>
      <c r="J87" s="1" t="s">
        <v>173</v>
      </c>
      <c r="L87" s="1" t="s">
        <v>173</v>
      </c>
      <c r="M87" s="1" t="s">
        <v>173</v>
      </c>
      <c r="O87" s="1" t="s">
        <v>173</v>
      </c>
    </row>
    <row r="88" spans="1:15" x14ac:dyDescent="0.25">
      <c r="A88" s="1" t="s">
        <v>173</v>
      </c>
      <c r="B88" s="1" t="s">
        <v>174</v>
      </c>
      <c r="C88" s="1" t="s">
        <v>206</v>
      </c>
      <c r="D88" s="1" t="s">
        <v>207</v>
      </c>
      <c r="E88" s="1" t="s">
        <v>28</v>
      </c>
      <c r="F88" s="1" t="s">
        <v>29</v>
      </c>
      <c r="G88" s="1" t="s">
        <v>17</v>
      </c>
      <c r="H88" s="2">
        <v>46207</v>
      </c>
      <c r="I88" s="1" t="s">
        <v>177</v>
      </c>
      <c r="J88" s="1" t="s">
        <v>173</v>
      </c>
      <c r="L88" s="1" t="s">
        <v>173</v>
      </c>
      <c r="M88" s="1" t="s">
        <v>173</v>
      </c>
      <c r="O88" s="1" t="s">
        <v>173</v>
      </c>
    </row>
    <row r="89" spans="1:15" x14ac:dyDescent="0.25">
      <c r="A89" s="1" t="s">
        <v>173</v>
      </c>
      <c r="B89" s="1" t="s">
        <v>174</v>
      </c>
      <c r="C89" s="1" t="s">
        <v>208</v>
      </c>
      <c r="D89" s="1" t="s">
        <v>209</v>
      </c>
      <c r="E89" s="1" t="s">
        <v>19</v>
      </c>
      <c r="F89" s="1" t="s">
        <v>20</v>
      </c>
      <c r="G89" s="1" t="s">
        <v>17</v>
      </c>
      <c r="H89" s="2">
        <v>46207</v>
      </c>
      <c r="I89" s="1" t="s">
        <v>177</v>
      </c>
      <c r="J89" s="1" t="s">
        <v>173</v>
      </c>
      <c r="L89" s="1" t="s">
        <v>173</v>
      </c>
      <c r="M89" s="1" t="s">
        <v>173</v>
      </c>
      <c r="O89" s="1" t="s">
        <v>173</v>
      </c>
    </row>
    <row r="90" spans="1:15" x14ac:dyDescent="0.25">
      <c r="A90" s="1" t="s">
        <v>173</v>
      </c>
      <c r="B90" s="1" t="s">
        <v>210</v>
      </c>
      <c r="C90" s="1" t="s">
        <v>211</v>
      </c>
      <c r="D90" s="1" t="s">
        <v>212</v>
      </c>
      <c r="E90" s="1" t="s">
        <v>82</v>
      </c>
      <c r="F90" s="1" t="s">
        <v>83</v>
      </c>
      <c r="G90" s="1" t="s">
        <v>49</v>
      </c>
      <c r="H90" s="2">
        <v>46207</v>
      </c>
      <c r="I90" s="1" t="s">
        <v>177</v>
      </c>
      <c r="J90" s="1" t="s">
        <v>173</v>
      </c>
      <c r="L90" s="1" t="s">
        <v>173</v>
      </c>
      <c r="M90" s="1" t="s">
        <v>173</v>
      </c>
      <c r="O90" s="1" t="s">
        <v>173</v>
      </c>
    </row>
    <row r="91" spans="1:15" x14ac:dyDescent="0.25">
      <c r="A91" s="1" t="s">
        <v>173</v>
      </c>
      <c r="B91" s="1" t="s">
        <v>210</v>
      </c>
      <c r="C91" s="1" t="s">
        <v>213</v>
      </c>
      <c r="D91" s="1" t="s">
        <v>214</v>
      </c>
      <c r="E91" s="1" t="s">
        <v>57</v>
      </c>
      <c r="F91" s="1" t="s">
        <v>58</v>
      </c>
      <c r="G91" s="1" t="s">
        <v>49</v>
      </c>
      <c r="H91" s="2">
        <v>46208</v>
      </c>
      <c r="I91" s="1" t="s">
        <v>177</v>
      </c>
      <c r="J91" s="1" t="s">
        <v>173</v>
      </c>
      <c r="L91" s="1" t="s">
        <v>173</v>
      </c>
      <c r="M91" s="1" t="s">
        <v>173</v>
      </c>
      <c r="O91" s="1" t="s">
        <v>173</v>
      </c>
    </row>
    <row r="92" spans="1:15" x14ac:dyDescent="0.25">
      <c r="A92" s="1" t="s">
        <v>173</v>
      </c>
      <c r="B92" s="1" t="s">
        <v>210</v>
      </c>
      <c r="C92" s="1" t="s">
        <v>215</v>
      </c>
      <c r="D92" s="1" t="s">
        <v>216</v>
      </c>
      <c r="E92" s="1" t="s">
        <v>184</v>
      </c>
      <c r="F92" s="1" t="s">
        <v>185</v>
      </c>
      <c r="G92" s="1" t="s">
        <v>49</v>
      </c>
      <c r="H92" s="2">
        <v>46208</v>
      </c>
      <c r="I92" s="1" t="s">
        <v>177</v>
      </c>
      <c r="J92" s="1" t="s">
        <v>173</v>
      </c>
      <c r="L92" s="1" t="s">
        <v>173</v>
      </c>
      <c r="M92" s="1" t="s">
        <v>173</v>
      </c>
      <c r="O92" s="1" t="s">
        <v>173</v>
      </c>
    </row>
    <row r="93" spans="1:15" x14ac:dyDescent="0.25">
      <c r="A93" s="1" t="s">
        <v>173</v>
      </c>
      <c r="B93" s="1" t="s">
        <v>210</v>
      </c>
      <c r="C93" s="1" t="s">
        <v>217</v>
      </c>
      <c r="D93" s="1" t="s">
        <v>218</v>
      </c>
      <c r="E93" s="1" t="s">
        <v>87</v>
      </c>
      <c r="F93" s="1" t="s">
        <v>88</v>
      </c>
      <c r="G93" s="1" t="s">
        <v>49</v>
      </c>
      <c r="H93" s="2">
        <v>46209</v>
      </c>
      <c r="I93" s="1" t="s">
        <v>177</v>
      </c>
      <c r="J93" s="1" t="s">
        <v>173</v>
      </c>
      <c r="L93" s="1" t="s">
        <v>173</v>
      </c>
      <c r="M93" s="1" t="s">
        <v>173</v>
      </c>
      <c r="O93" s="1" t="s">
        <v>173</v>
      </c>
    </row>
    <row r="94" spans="1:15" x14ac:dyDescent="0.25">
      <c r="A94" s="1" t="s">
        <v>173</v>
      </c>
      <c r="B94" s="1" t="s">
        <v>210</v>
      </c>
      <c r="C94" s="1" t="s">
        <v>219</v>
      </c>
      <c r="D94" s="1" t="s">
        <v>220</v>
      </c>
      <c r="E94" s="1" t="s">
        <v>70</v>
      </c>
      <c r="F94" s="1" t="s">
        <v>71</v>
      </c>
      <c r="G94" s="1" t="s">
        <v>49</v>
      </c>
      <c r="H94" s="2">
        <v>46209</v>
      </c>
      <c r="I94" s="1" t="s">
        <v>177</v>
      </c>
      <c r="J94" s="1" t="s">
        <v>173</v>
      </c>
      <c r="L94" s="1" t="s">
        <v>173</v>
      </c>
      <c r="M94" s="1" t="s">
        <v>173</v>
      </c>
      <c r="O94" s="1" t="s">
        <v>173</v>
      </c>
    </row>
    <row r="95" spans="1:15" x14ac:dyDescent="0.25">
      <c r="A95" s="1" t="s">
        <v>173</v>
      </c>
      <c r="B95" s="1" t="s">
        <v>210</v>
      </c>
      <c r="C95" s="1" t="s">
        <v>221</v>
      </c>
      <c r="D95" s="1" t="s">
        <v>222</v>
      </c>
      <c r="E95" s="1" t="s">
        <v>47</v>
      </c>
      <c r="F95" s="1" t="s">
        <v>48</v>
      </c>
      <c r="G95" s="1" t="s">
        <v>49</v>
      </c>
      <c r="H95" s="2">
        <v>46210</v>
      </c>
      <c r="I95" s="1" t="s">
        <v>177</v>
      </c>
      <c r="J95" s="1" t="s">
        <v>173</v>
      </c>
      <c r="L95" s="1" t="s">
        <v>173</v>
      </c>
      <c r="M95" s="1" t="s">
        <v>173</v>
      </c>
      <c r="O95" s="1" t="s">
        <v>173</v>
      </c>
    </row>
    <row r="96" spans="1:15" x14ac:dyDescent="0.25">
      <c r="A96" s="1" t="s">
        <v>173</v>
      </c>
      <c r="B96" s="1" t="s">
        <v>210</v>
      </c>
      <c r="C96" s="1" t="s">
        <v>223</v>
      </c>
      <c r="D96" s="1" t="s">
        <v>224</v>
      </c>
      <c r="E96" s="1" t="s">
        <v>129</v>
      </c>
      <c r="F96" s="1" t="s">
        <v>130</v>
      </c>
      <c r="G96" s="1" t="s">
        <v>49</v>
      </c>
      <c r="H96" s="2">
        <v>46210</v>
      </c>
      <c r="I96" s="1" t="s">
        <v>177</v>
      </c>
      <c r="J96" s="1" t="s">
        <v>173</v>
      </c>
      <c r="L96" s="1" t="s">
        <v>173</v>
      </c>
      <c r="M96" s="1" t="s">
        <v>173</v>
      </c>
      <c r="O96" s="1" t="s">
        <v>173</v>
      </c>
    </row>
    <row r="97" spans="1:15" x14ac:dyDescent="0.25">
      <c r="A97" s="1" t="s">
        <v>173</v>
      </c>
      <c r="B97" s="1" t="s">
        <v>210</v>
      </c>
      <c r="C97" s="1" t="s">
        <v>225</v>
      </c>
      <c r="D97" s="1" t="s">
        <v>226</v>
      </c>
      <c r="E97" s="1" t="s">
        <v>97</v>
      </c>
      <c r="F97" s="1" t="s">
        <v>98</v>
      </c>
      <c r="G97" s="1" t="s">
        <v>49</v>
      </c>
      <c r="H97" s="2">
        <v>46210</v>
      </c>
      <c r="I97" s="1" t="s">
        <v>177</v>
      </c>
      <c r="J97" s="1" t="s">
        <v>173</v>
      </c>
      <c r="L97" s="1" t="s">
        <v>173</v>
      </c>
      <c r="M97" s="1" t="s">
        <v>173</v>
      </c>
      <c r="O97" s="1" t="s">
        <v>173</v>
      </c>
    </row>
    <row r="98" spans="1:15" x14ac:dyDescent="0.25">
      <c r="A98" s="1" t="s">
        <v>173</v>
      </c>
      <c r="B98" s="1" t="s">
        <v>227</v>
      </c>
      <c r="C98" s="1" t="s">
        <v>228</v>
      </c>
      <c r="D98" s="1" t="s">
        <v>229</v>
      </c>
      <c r="E98" s="1" t="s">
        <v>82</v>
      </c>
      <c r="F98" s="1" t="s">
        <v>83</v>
      </c>
      <c r="G98" s="1" t="s">
        <v>49</v>
      </c>
      <c r="H98" s="2">
        <v>46212</v>
      </c>
      <c r="I98" s="1" t="s">
        <v>177</v>
      </c>
      <c r="J98" s="1" t="s">
        <v>173</v>
      </c>
      <c r="L98" s="1" t="s">
        <v>173</v>
      </c>
      <c r="M98" s="1" t="s">
        <v>173</v>
      </c>
      <c r="O98" s="1" t="s">
        <v>173</v>
      </c>
    </row>
    <row r="99" spans="1:15" x14ac:dyDescent="0.25">
      <c r="A99" s="1" t="s">
        <v>173</v>
      </c>
      <c r="B99" s="1" t="s">
        <v>227</v>
      </c>
      <c r="C99" s="1" t="s">
        <v>230</v>
      </c>
      <c r="D99" s="1" t="s">
        <v>231</v>
      </c>
      <c r="E99" s="1" t="s">
        <v>57</v>
      </c>
      <c r="F99" s="1" t="s">
        <v>58</v>
      </c>
      <c r="G99" s="1" t="s">
        <v>49</v>
      </c>
      <c r="H99" s="2">
        <v>46213</v>
      </c>
      <c r="I99" s="1" t="s">
        <v>177</v>
      </c>
      <c r="J99" s="1" t="s">
        <v>173</v>
      </c>
      <c r="L99" s="1" t="s">
        <v>173</v>
      </c>
      <c r="M99" s="1" t="s">
        <v>173</v>
      </c>
      <c r="O99" s="1" t="s">
        <v>173</v>
      </c>
    </row>
    <row r="100" spans="1:15" x14ac:dyDescent="0.25">
      <c r="A100" s="1" t="s">
        <v>173</v>
      </c>
      <c r="B100" s="1" t="s">
        <v>227</v>
      </c>
      <c r="C100" s="1" t="s">
        <v>232</v>
      </c>
      <c r="D100" s="1" t="s">
        <v>233</v>
      </c>
      <c r="E100" s="1" t="s">
        <v>184</v>
      </c>
      <c r="F100" s="1" t="s">
        <v>185</v>
      </c>
      <c r="G100" s="1" t="s">
        <v>49</v>
      </c>
      <c r="H100" s="2">
        <v>46213</v>
      </c>
      <c r="I100" s="1" t="s">
        <v>177</v>
      </c>
      <c r="J100" s="1" t="s">
        <v>173</v>
      </c>
      <c r="L100" s="1" t="s">
        <v>173</v>
      </c>
      <c r="M100" s="1" t="s">
        <v>173</v>
      </c>
      <c r="O100" s="1" t="s">
        <v>173</v>
      </c>
    </row>
    <row r="101" spans="1:15" x14ac:dyDescent="0.25">
      <c r="A101" s="1" t="s">
        <v>173</v>
      </c>
      <c r="B101" s="1" t="s">
        <v>227</v>
      </c>
      <c r="C101" s="1" t="s">
        <v>234</v>
      </c>
      <c r="D101" s="1" t="s">
        <v>235</v>
      </c>
      <c r="E101" s="1" t="s">
        <v>87</v>
      </c>
      <c r="F101" s="1" t="s">
        <v>88</v>
      </c>
      <c r="G101" s="1" t="s">
        <v>49</v>
      </c>
      <c r="H101" s="2">
        <v>46214</v>
      </c>
      <c r="I101" s="1" t="s">
        <v>177</v>
      </c>
      <c r="J101" s="1" t="s">
        <v>173</v>
      </c>
      <c r="L101" s="1" t="s">
        <v>173</v>
      </c>
      <c r="M101" s="1" t="s">
        <v>173</v>
      </c>
      <c r="O101" s="1" t="s">
        <v>173</v>
      </c>
    </row>
    <row r="102" spans="1:15" x14ac:dyDescent="0.25">
      <c r="A102" s="1" t="s">
        <v>173</v>
      </c>
      <c r="B102" s="1" t="s">
        <v>236</v>
      </c>
      <c r="C102" s="1" t="s">
        <v>237</v>
      </c>
      <c r="D102" s="1" t="s">
        <v>238</v>
      </c>
      <c r="E102" s="1" t="s">
        <v>82</v>
      </c>
      <c r="F102" s="1" t="s">
        <v>83</v>
      </c>
      <c r="G102" s="1" t="s">
        <v>49</v>
      </c>
      <c r="H102" s="2">
        <v>46217</v>
      </c>
      <c r="I102" s="1" t="s">
        <v>177</v>
      </c>
      <c r="J102" s="1" t="s">
        <v>173</v>
      </c>
      <c r="L102" s="1" t="s">
        <v>173</v>
      </c>
      <c r="M102" s="1" t="s">
        <v>173</v>
      </c>
      <c r="O102" s="1" t="s">
        <v>173</v>
      </c>
    </row>
    <row r="103" spans="1:15" x14ac:dyDescent="0.25">
      <c r="A103" s="1" t="s">
        <v>173</v>
      </c>
      <c r="B103" s="1" t="s">
        <v>236</v>
      </c>
      <c r="C103" s="1" t="s">
        <v>239</v>
      </c>
      <c r="D103" s="1" t="s">
        <v>240</v>
      </c>
      <c r="E103" s="1" t="s">
        <v>57</v>
      </c>
      <c r="F103" s="1" t="s">
        <v>58</v>
      </c>
      <c r="G103" s="1" t="s">
        <v>49</v>
      </c>
      <c r="H103" s="2">
        <v>46218</v>
      </c>
      <c r="I103" s="1" t="s">
        <v>177</v>
      </c>
      <c r="J103" s="1" t="s">
        <v>173</v>
      </c>
      <c r="L103" s="1" t="s">
        <v>173</v>
      </c>
      <c r="M103" s="1" t="s">
        <v>173</v>
      </c>
      <c r="O103" s="1" t="s">
        <v>173</v>
      </c>
    </row>
    <row r="104" spans="1:15" x14ac:dyDescent="0.25">
      <c r="A104" s="1" t="s">
        <v>173</v>
      </c>
      <c r="B104" s="1" t="s">
        <v>241</v>
      </c>
      <c r="C104" s="1" t="s">
        <v>242</v>
      </c>
      <c r="D104" s="1" t="s">
        <v>242</v>
      </c>
      <c r="E104" s="1" t="s">
        <v>129</v>
      </c>
      <c r="F104" s="1" t="s">
        <v>130</v>
      </c>
      <c r="G104" s="1" t="s">
        <v>49</v>
      </c>
      <c r="H104" s="2">
        <v>46221</v>
      </c>
      <c r="I104" s="1" t="s">
        <v>177</v>
      </c>
      <c r="J104" s="1" t="s">
        <v>173</v>
      </c>
      <c r="L104" s="1" t="s">
        <v>173</v>
      </c>
      <c r="M104" s="1" t="s">
        <v>173</v>
      </c>
      <c r="O104" s="1" t="s">
        <v>173</v>
      </c>
    </row>
    <row r="105" spans="1:15" x14ac:dyDescent="0.25">
      <c r="A105" s="1" t="s">
        <v>173</v>
      </c>
      <c r="B105" s="1" t="s">
        <v>243</v>
      </c>
      <c r="C105" s="1" t="s">
        <v>244</v>
      </c>
      <c r="D105" s="1" t="s">
        <v>245</v>
      </c>
      <c r="E105" s="1" t="s">
        <v>57</v>
      </c>
      <c r="F105" s="1" t="s">
        <v>58</v>
      </c>
      <c r="G105" s="1" t="s">
        <v>49</v>
      </c>
      <c r="H105" s="2">
        <v>46222</v>
      </c>
      <c r="I105" s="1" t="s">
        <v>177</v>
      </c>
      <c r="J105" s="1" t="s">
        <v>173</v>
      </c>
      <c r="L105" s="1" t="s">
        <v>173</v>
      </c>
      <c r="M105" s="1" t="s">
        <v>173</v>
      </c>
      <c r="O105" s="1" t="s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8E6A-A023-4FF8-9018-35EEB52F556F}">
  <dimension ref="A1:G49"/>
  <sheetViews>
    <sheetView workbookViewId="0"/>
  </sheetViews>
  <sheetFormatPr defaultRowHeight="15" x14ac:dyDescent="0.25"/>
  <cols>
    <col min="1" max="1" width="22.5703125" bestFit="1" customWidth="1"/>
    <col min="2" max="2" width="8.42578125" bestFit="1" customWidth="1"/>
    <col min="3" max="3" width="16.140625" bestFit="1" customWidth="1"/>
    <col min="4" max="4" width="11" bestFit="1" customWidth="1"/>
    <col min="5" max="5" width="20" bestFit="1" customWidth="1"/>
    <col min="6" max="6" width="33.140625" bestFit="1" customWidth="1"/>
    <col min="7" max="7" width="13.42578125" bestFit="1" customWidth="1"/>
  </cols>
  <sheetData>
    <row r="1" spans="1:7" x14ac:dyDescent="0.25">
      <c r="A1" t="s">
        <v>246</v>
      </c>
      <c r="B1" t="s">
        <v>0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</row>
    <row r="2" spans="1:7" x14ac:dyDescent="0.25">
      <c r="A2" s="1" t="s">
        <v>17</v>
      </c>
      <c r="B2" s="1" t="s">
        <v>15</v>
      </c>
      <c r="C2" s="1" t="s">
        <v>22</v>
      </c>
      <c r="D2">
        <v>15</v>
      </c>
      <c r="E2" s="1" t="s">
        <v>23</v>
      </c>
      <c r="F2" s="1" t="s">
        <v>252</v>
      </c>
      <c r="G2" s="1" t="s">
        <v>253</v>
      </c>
    </row>
    <row r="3" spans="1:7" x14ac:dyDescent="0.25">
      <c r="A3" s="1" t="s">
        <v>18</v>
      </c>
      <c r="B3" s="1" t="s">
        <v>15</v>
      </c>
      <c r="C3" s="1" t="s">
        <v>24</v>
      </c>
      <c r="D3">
        <v>60</v>
      </c>
      <c r="E3" s="1" t="s">
        <v>25</v>
      </c>
      <c r="F3" s="1" t="s">
        <v>254</v>
      </c>
      <c r="G3" s="1" t="s">
        <v>253</v>
      </c>
    </row>
    <row r="4" spans="1:7" x14ac:dyDescent="0.25">
      <c r="A4" s="1" t="s">
        <v>26</v>
      </c>
      <c r="B4" s="1" t="s">
        <v>15</v>
      </c>
      <c r="C4" s="1" t="s">
        <v>31</v>
      </c>
      <c r="D4">
        <v>25</v>
      </c>
      <c r="E4" s="1" t="s">
        <v>32</v>
      </c>
      <c r="F4" s="1" t="s">
        <v>255</v>
      </c>
      <c r="G4" s="1" t="s">
        <v>253</v>
      </c>
    </row>
    <row r="5" spans="1:7" x14ac:dyDescent="0.25">
      <c r="A5" s="1" t="s">
        <v>27</v>
      </c>
      <c r="B5" s="1" t="s">
        <v>15</v>
      </c>
      <c r="C5" s="1" t="s">
        <v>33</v>
      </c>
      <c r="D5">
        <v>41</v>
      </c>
      <c r="E5" s="1" t="s">
        <v>34</v>
      </c>
      <c r="F5" s="1" t="s">
        <v>256</v>
      </c>
      <c r="G5" s="1" t="s">
        <v>253</v>
      </c>
    </row>
    <row r="6" spans="1:7" x14ac:dyDescent="0.25">
      <c r="A6" s="1" t="s">
        <v>38</v>
      </c>
      <c r="B6" s="1" t="s">
        <v>37</v>
      </c>
      <c r="C6" s="1" t="s">
        <v>22</v>
      </c>
      <c r="D6">
        <v>30</v>
      </c>
      <c r="E6" s="1" t="s">
        <v>43</v>
      </c>
      <c r="F6" s="1" t="s">
        <v>257</v>
      </c>
      <c r="G6" s="1" t="s">
        <v>253</v>
      </c>
    </row>
    <row r="7" spans="1:7" x14ac:dyDescent="0.25">
      <c r="A7" s="1" t="s">
        <v>46</v>
      </c>
      <c r="B7" s="1" t="s">
        <v>37</v>
      </c>
      <c r="C7" s="1" t="s">
        <v>33</v>
      </c>
      <c r="D7">
        <v>19</v>
      </c>
      <c r="E7" s="1" t="s">
        <v>51</v>
      </c>
      <c r="F7" s="1" t="s">
        <v>258</v>
      </c>
      <c r="G7" s="1" t="s">
        <v>253</v>
      </c>
    </row>
    <row r="8" spans="1:7" x14ac:dyDescent="0.25">
      <c r="A8" s="1" t="s">
        <v>45</v>
      </c>
      <c r="B8" s="1" t="s">
        <v>37</v>
      </c>
      <c r="C8" s="1" t="s">
        <v>31</v>
      </c>
      <c r="D8">
        <v>35</v>
      </c>
      <c r="E8" s="1" t="s">
        <v>50</v>
      </c>
      <c r="F8" s="1" t="s">
        <v>259</v>
      </c>
      <c r="G8" s="1" t="s">
        <v>253</v>
      </c>
    </row>
    <row r="9" spans="1:7" x14ac:dyDescent="0.25">
      <c r="A9" s="1" t="s">
        <v>39</v>
      </c>
      <c r="B9" s="1" t="s">
        <v>37</v>
      </c>
      <c r="C9" s="1" t="s">
        <v>33</v>
      </c>
      <c r="D9">
        <v>52</v>
      </c>
      <c r="E9" s="1" t="s">
        <v>44</v>
      </c>
      <c r="F9" s="1" t="s">
        <v>260</v>
      </c>
      <c r="G9" s="1" t="s">
        <v>253</v>
      </c>
    </row>
    <row r="10" spans="1:7" x14ac:dyDescent="0.25">
      <c r="A10" s="1" t="s">
        <v>55</v>
      </c>
      <c r="B10" s="1" t="s">
        <v>54</v>
      </c>
      <c r="C10" s="1" t="s">
        <v>59</v>
      </c>
      <c r="D10">
        <v>6</v>
      </c>
      <c r="E10" s="1" t="s">
        <v>60</v>
      </c>
      <c r="F10" s="1" t="s">
        <v>261</v>
      </c>
      <c r="G10" s="1" t="s">
        <v>253</v>
      </c>
    </row>
    <row r="11" spans="1:7" x14ac:dyDescent="0.25">
      <c r="A11" s="1" t="s">
        <v>56</v>
      </c>
      <c r="B11" s="1" t="s">
        <v>54</v>
      </c>
      <c r="C11" s="1" t="s">
        <v>24</v>
      </c>
      <c r="D11">
        <v>8</v>
      </c>
      <c r="E11" s="1" t="s">
        <v>61</v>
      </c>
      <c r="F11" s="1" t="s">
        <v>262</v>
      </c>
      <c r="G11" s="1" t="s">
        <v>253</v>
      </c>
    </row>
    <row r="12" spans="1:7" x14ac:dyDescent="0.25">
      <c r="A12" s="1" t="s">
        <v>62</v>
      </c>
      <c r="B12" s="1" t="s">
        <v>54</v>
      </c>
      <c r="C12" s="1" t="s">
        <v>22</v>
      </c>
      <c r="D12">
        <v>83</v>
      </c>
      <c r="E12" s="1" t="s">
        <v>66</v>
      </c>
      <c r="F12" s="1" t="s">
        <v>263</v>
      </c>
      <c r="G12" s="1" t="s">
        <v>253</v>
      </c>
    </row>
    <row r="13" spans="1:7" x14ac:dyDescent="0.25">
      <c r="A13" s="1" t="s">
        <v>63</v>
      </c>
      <c r="B13" s="1" t="s">
        <v>54</v>
      </c>
      <c r="C13" s="1" t="s">
        <v>33</v>
      </c>
      <c r="D13">
        <v>47</v>
      </c>
      <c r="E13" s="1" t="s">
        <v>67</v>
      </c>
      <c r="F13" s="1" t="s">
        <v>264</v>
      </c>
      <c r="G13" s="1" t="s">
        <v>253</v>
      </c>
    </row>
    <row r="14" spans="1:7" x14ac:dyDescent="0.25">
      <c r="A14" s="1" t="s">
        <v>49</v>
      </c>
      <c r="B14" s="1" t="s">
        <v>68</v>
      </c>
      <c r="C14" s="1" t="s">
        <v>22</v>
      </c>
      <c r="D14">
        <v>16</v>
      </c>
      <c r="E14" s="1" t="s">
        <v>72</v>
      </c>
      <c r="F14" s="1" t="s">
        <v>265</v>
      </c>
      <c r="G14" s="1" t="s">
        <v>253</v>
      </c>
    </row>
    <row r="15" spans="1:7" x14ac:dyDescent="0.25">
      <c r="A15" s="1" t="s">
        <v>69</v>
      </c>
      <c r="B15" s="1" t="s">
        <v>68</v>
      </c>
      <c r="C15" s="1" t="s">
        <v>59</v>
      </c>
      <c r="D15">
        <v>64</v>
      </c>
      <c r="E15" s="1" t="s">
        <v>73</v>
      </c>
      <c r="F15" s="1" t="s">
        <v>266</v>
      </c>
      <c r="G15" s="1" t="s">
        <v>253</v>
      </c>
    </row>
    <row r="16" spans="1:7" x14ac:dyDescent="0.25">
      <c r="A16" s="1" t="s">
        <v>74</v>
      </c>
      <c r="B16" s="1" t="s">
        <v>68</v>
      </c>
      <c r="C16" s="1" t="s">
        <v>31</v>
      </c>
      <c r="D16">
        <v>26</v>
      </c>
      <c r="E16" s="1" t="s">
        <v>77</v>
      </c>
      <c r="F16" s="1" t="s">
        <v>267</v>
      </c>
      <c r="G16" s="1" t="s">
        <v>253</v>
      </c>
    </row>
    <row r="17" spans="1:7" x14ac:dyDescent="0.25">
      <c r="A17" s="1" t="s">
        <v>75</v>
      </c>
      <c r="B17" s="1" t="s">
        <v>68</v>
      </c>
      <c r="C17" s="1" t="s">
        <v>33</v>
      </c>
      <c r="D17">
        <v>42</v>
      </c>
      <c r="E17" s="1" t="s">
        <v>78</v>
      </c>
      <c r="F17" s="1" t="s">
        <v>268</v>
      </c>
      <c r="G17" s="1" t="s">
        <v>253</v>
      </c>
    </row>
    <row r="18" spans="1:7" x14ac:dyDescent="0.25">
      <c r="A18" s="1" t="s">
        <v>85</v>
      </c>
      <c r="B18" s="1" t="s">
        <v>84</v>
      </c>
      <c r="C18" s="1" t="s">
        <v>33</v>
      </c>
      <c r="D18">
        <v>10</v>
      </c>
      <c r="E18" s="1" t="s">
        <v>90</v>
      </c>
      <c r="F18" s="1" t="s">
        <v>269</v>
      </c>
      <c r="G18" s="1" t="s">
        <v>253</v>
      </c>
    </row>
    <row r="19" spans="1:7" x14ac:dyDescent="0.25">
      <c r="A19" s="1" t="s">
        <v>86</v>
      </c>
      <c r="B19" s="1" t="s">
        <v>84</v>
      </c>
      <c r="C19" s="1" t="s">
        <v>22</v>
      </c>
      <c r="D19">
        <v>81</v>
      </c>
      <c r="E19" s="1" t="s">
        <v>91</v>
      </c>
      <c r="F19" s="1" t="s">
        <v>270</v>
      </c>
      <c r="G19" s="1" t="s">
        <v>271</v>
      </c>
    </row>
    <row r="20" spans="1:7" x14ac:dyDescent="0.25">
      <c r="A20" s="1" t="s">
        <v>92</v>
      </c>
      <c r="B20" s="1" t="s">
        <v>84</v>
      </c>
      <c r="C20" s="1" t="s">
        <v>24</v>
      </c>
      <c r="D20">
        <v>33</v>
      </c>
      <c r="E20" s="1" t="s">
        <v>95</v>
      </c>
      <c r="F20" s="1" t="s">
        <v>272</v>
      </c>
      <c r="G20" s="1" t="s">
        <v>253</v>
      </c>
    </row>
    <row r="21" spans="1:7" x14ac:dyDescent="0.25">
      <c r="A21" s="1" t="s">
        <v>93</v>
      </c>
      <c r="B21" s="1" t="s">
        <v>84</v>
      </c>
      <c r="C21" s="1" t="s">
        <v>59</v>
      </c>
      <c r="D21">
        <v>24</v>
      </c>
      <c r="E21" s="1" t="s">
        <v>96</v>
      </c>
      <c r="F21" s="1" t="s">
        <v>273</v>
      </c>
      <c r="G21" s="1" t="s">
        <v>253</v>
      </c>
    </row>
    <row r="22" spans="1:7" x14ac:dyDescent="0.25">
      <c r="A22" s="1" t="s">
        <v>100</v>
      </c>
      <c r="B22" s="1" t="s">
        <v>99</v>
      </c>
      <c r="C22" s="1" t="s">
        <v>33</v>
      </c>
      <c r="D22">
        <v>7</v>
      </c>
      <c r="E22" s="1" t="s">
        <v>103</v>
      </c>
      <c r="F22" s="1" t="s">
        <v>274</v>
      </c>
      <c r="G22" s="1" t="s">
        <v>253</v>
      </c>
    </row>
    <row r="23" spans="1:7" x14ac:dyDescent="0.25">
      <c r="A23" s="1" t="s">
        <v>101</v>
      </c>
      <c r="B23" s="1" t="s">
        <v>99</v>
      </c>
      <c r="C23" s="1" t="s">
        <v>31</v>
      </c>
      <c r="D23">
        <v>18</v>
      </c>
      <c r="E23" s="1" t="s">
        <v>104</v>
      </c>
      <c r="F23" s="1" t="s">
        <v>275</v>
      </c>
      <c r="G23" s="1" t="s">
        <v>253</v>
      </c>
    </row>
    <row r="24" spans="1:7" x14ac:dyDescent="0.25">
      <c r="A24" s="1" t="s">
        <v>105</v>
      </c>
      <c r="B24" s="1" t="s">
        <v>99</v>
      </c>
      <c r="C24" s="1" t="s">
        <v>33</v>
      </c>
      <c r="D24">
        <v>39</v>
      </c>
      <c r="E24" s="1" t="s">
        <v>109</v>
      </c>
      <c r="F24" s="1" t="s">
        <v>276</v>
      </c>
      <c r="G24" s="1" t="s">
        <v>253</v>
      </c>
    </row>
    <row r="25" spans="1:7" x14ac:dyDescent="0.25">
      <c r="A25" s="1" t="s">
        <v>106</v>
      </c>
      <c r="B25" s="1" t="s">
        <v>99</v>
      </c>
      <c r="C25" s="1" t="s">
        <v>24</v>
      </c>
      <c r="D25">
        <v>40</v>
      </c>
      <c r="E25" s="1" t="s">
        <v>110</v>
      </c>
      <c r="F25" s="1" t="s">
        <v>277</v>
      </c>
      <c r="G25" s="1" t="s">
        <v>253</v>
      </c>
    </row>
    <row r="26" spans="1:7" x14ac:dyDescent="0.25">
      <c r="A26" s="1" t="s">
        <v>113</v>
      </c>
      <c r="B26" s="1" t="s">
        <v>112</v>
      </c>
      <c r="C26" s="1" t="s">
        <v>33</v>
      </c>
      <c r="D26">
        <v>9</v>
      </c>
      <c r="E26" s="1" t="s">
        <v>115</v>
      </c>
      <c r="F26" s="1" t="s">
        <v>278</v>
      </c>
      <c r="G26" s="1" t="s">
        <v>253</v>
      </c>
    </row>
    <row r="27" spans="1:7" x14ac:dyDescent="0.25">
      <c r="A27" s="1" t="s">
        <v>114</v>
      </c>
      <c r="B27" s="1" t="s">
        <v>112</v>
      </c>
      <c r="C27" s="1" t="s">
        <v>24</v>
      </c>
      <c r="D27">
        <v>29</v>
      </c>
      <c r="E27" s="1" t="s">
        <v>116</v>
      </c>
      <c r="F27" s="1" t="s">
        <v>279</v>
      </c>
      <c r="G27" s="1" t="s">
        <v>253</v>
      </c>
    </row>
    <row r="28" spans="1:7" x14ac:dyDescent="0.25">
      <c r="A28" s="1" t="s">
        <v>117</v>
      </c>
      <c r="B28" s="1" t="s">
        <v>112</v>
      </c>
      <c r="C28" s="1" t="s">
        <v>31</v>
      </c>
      <c r="D28">
        <v>21</v>
      </c>
      <c r="E28" s="1" t="s">
        <v>119</v>
      </c>
      <c r="F28" s="1" t="s">
        <v>277</v>
      </c>
      <c r="G28" s="1" t="s">
        <v>253</v>
      </c>
    </row>
    <row r="29" spans="1:7" x14ac:dyDescent="0.25">
      <c r="A29" s="1" t="s">
        <v>118</v>
      </c>
      <c r="B29" s="1" t="s">
        <v>112</v>
      </c>
      <c r="C29" s="1" t="s">
        <v>120</v>
      </c>
      <c r="D29">
        <v>95</v>
      </c>
      <c r="E29" s="1" t="s">
        <v>121</v>
      </c>
      <c r="F29" s="1" t="s">
        <v>280</v>
      </c>
      <c r="G29" s="1" t="s">
        <v>253</v>
      </c>
    </row>
    <row r="30" spans="1:7" x14ac:dyDescent="0.25">
      <c r="A30" s="1" t="s">
        <v>123</v>
      </c>
      <c r="B30" s="1" t="s">
        <v>122</v>
      </c>
      <c r="C30" s="1" t="s">
        <v>33</v>
      </c>
      <c r="D30">
        <v>2</v>
      </c>
      <c r="E30" s="1" t="s">
        <v>125</v>
      </c>
      <c r="F30" s="1" t="s">
        <v>281</v>
      </c>
      <c r="G30" s="1" t="s">
        <v>253</v>
      </c>
    </row>
    <row r="31" spans="1:7" x14ac:dyDescent="0.25">
      <c r="A31" s="1" t="s">
        <v>124</v>
      </c>
      <c r="B31" s="1" t="s">
        <v>122</v>
      </c>
      <c r="C31" s="1" t="s">
        <v>24</v>
      </c>
      <c r="D31">
        <v>70</v>
      </c>
      <c r="E31" s="1" t="s">
        <v>126</v>
      </c>
      <c r="F31" s="1" t="s">
        <v>270</v>
      </c>
      <c r="G31" s="1" t="s">
        <v>271</v>
      </c>
    </row>
    <row r="32" spans="1:7" x14ac:dyDescent="0.25">
      <c r="A32" s="1" t="s">
        <v>127</v>
      </c>
      <c r="B32" s="1" t="s">
        <v>122</v>
      </c>
      <c r="C32" s="1" t="s">
        <v>31</v>
      </c>
      <c r="D32">
        <v>57</v>
      </c>
      <c r="E32" s="1" t="s">
        <v>131</v>
      </c>
      <c r="F32" s="1" t="s">
        <v>282</v>
      </c>
      <c r="G32" s="1" t="s">
        <v>253</v>
      </c>
    </row>
    <row r="33" spans="1:7" x14ac:dyDescent="0.25">
      <c r="A33" s="1" t="s">
        <v>128</v>
      </c>
      <c r="B33" s="1" t="s">
        <v>122</v>
      </c>
      <c r="C33" s="1" t="s">
        <v>59</v>
      </c>
      <c r="D33">
        <v>17</v>
      </c>
      <c r="E33" s="1" t="s">
        <v>132</v>
      </c>
      <c r="F33" s="1" t="s">
        <v>283</v>
      </c>
      <c r="G33" s="1" t="s">
        <v>253</v>
      </c>
    </row>
    <row r="34" spans="1:7" x14ac:dyDescent="0.25">
      <c r="A34" s="1" t="s">
        <v>134</v>
      </c>
      <c r="B34" s="1" t="s">
        <v>133</v>
      </c>
      <c r="C34" s="1" t="s">
        <v>33</v>
      </c>
      <c r="D34">
        <v>1</v>
      </c>
      <c r="E34" s="1" t="s">
        <v>136</v>
      </c>
      <c r="F34" s="1" t="s">
        <v>284</v>
      </c>
      <c r="G34" s="1" t="s">
        <v>253</v>
      </c>
    </row>
    <row r="35" spans="1:7" x14ac:dyDescent="0.25">
      <c r="A35" s="1" t="s">
        <v>135</v>
      </c>
      <c r="B35" s="1" t="s">
        <v>133</v>
      </c>
      <c r="C35" s="1" t="s">
        <v>24</v>
      </c>
      <c r="D35">
        <v>14</v>
      </c>
      <c r="E35" s="1" t="s">
        <v>137</v>
      </c>
      <c r="F35" s="1" t="s">
        <v>285</v>
      </c>
      <c r="G35" s="1" t="s">
        <v>253</v>
      </c>
    </row>
    <row r="36" spans="1:7" x14ac:dyDescent="0.25">
      <c r="A36" s="1" t="s">
        <v>139</v>
      </c>
      <c r="B36" s="1" t="s">
        <v>133</v>
      </c>
      <c r="C36" s="1" t="s">
        <v>33</v>
      </c>
      <c r="D36">
        <v>44</v>
      </c>
      <c r="E36" s="1" t="s">
        <v>141</v>
      </c>
      <c r="F36" s="1" t="s">
        <v>286</v>
      </c>
      <c r="G36" s="1" t="s">
        <v>253</v>
      </c>
    </row>
    <row r="37" spans="1:7" x14ac:dyDescent="0.25">
      <c r="A37" s="1" t="s">
        <v>138</v>
      </c>
      <c r="B37" s="1" t="s">
        <v>133</v>
      </c>
      <c r="C37" s="1" t="s">
        <v>31</v>
      </c>
      <c r="D37">
        <v>61</v>
      </c>
      <c r="E37" s="1" t="s">
        <v>140</v>
      </c>
      <c r="F37" s="1" t="s">
        <v>287</v>
      </c>
      <c r="G37" s="1" t="s">
        <v>253</v>
      </c>
    </row>
    <row r="38" spans="1:7" x14ac:dyDescent="0.25">
      <c r="A38" s="1" t="s">
        <v>144</v>
      </c>
      <c r="B38" s="1" t="s">
        <v>143</v>
      </c>
      <c r="C38" s="1" t="s">
        <v>59</v>
      </c>
      <c r="D38">
        <v>3</v>
      </c>
      <c r="E38" s="1" t="s">
        <v>148</v>
      </c>
      <c r="F38" s="1" t="s">
        <v>288</v>
      </c>
      <c r="G38" s="1" t="s">
        <v>253</v>
      </c>
    </row>
    <row r="39" spans="1:7" x14ac:dyDescent="0.25">
      <c r="A39" s="1" t="s">
        <v>145</v>
      </c>
      <c r="B39" s="1" t="s">
        <v>143</v>
      </c>
      <c r="C39" s="1" t="s">
        <v>24</v>
      </c>
      <c r="D39">
        <v>36</v>
      </c>
      <c r="E39" s="1" t="s">
        <v>149</v>
      </c>
      <c r="F39" s="1" t="s">
        <v>289</v>
      </c>
      <c r="G39" s="1" t="s">
        <v>253</v>
      </c>
    </row>
    <row r="40" spans="1:7" x14ac:dyDescent="0.25">
      <c r="A40" s="1" t="s">
        <v>150</v>
      </c>
      <c r="B40" s="1" t="s">
        <v>143</v>
      </c>
      <c r="C40" s="1" t="s">
        <v>33</v>
      </c>
      <c r="D40">
        <v>23</v>
      </c>
      <c r="E40" s="1" t="s">
        <v>152</v>
      </c>
      <c r="F40" s="1" t="s">
        <v>290</v>
      </c>
      <c r="G40" s="1" t="s">
        <v>253</v>
      </c>
    </row>
    <row r="41" spans="1:7" x14ac:dyDescent="0.25">
      <c r="A41" s="1" t="s">
        <v>151</v>
      </c>
      <c r="B41" s="1" t="s">
        <v>143</v>
      </c>
      <c r="C41" s="1" t="s">
        <v>31</v>
      </c>
      <c r="D41">
        <v>68</v>
      </c>
      <c r="E41" s="1" t="s">
        <v>153</v>
      </c>
      <c r="F41" s="1" t="s">
        <v>270</v>
      </c>
      <c r="G41" s="1" t="s">
        <v>271</v>
      </c>
    </row>
    <row r="42" spans="1:7" x14ac:dyDescent="0.25">
      <c r="A42" s="1" t="s">
        <v>156</v>
      </c>
      <c r="B42" s="1" t="s">
        <v>155</v>
      </c>
      <c r="C42" s="1" t="s">
        <v>33</v>
      </c>
      <c r="D42">
        <v>5</v>
      </c>
      <c r="E42" s="1" t="s">
        <v>158</v>
      </c>
      <c r="F42" s="1" t="s">
        <v>291</v>
      </c>
      <c r="G42" s="1" t="s">
        <v>253</v>
      </c>
    </row>
    <row r="43" spans="1:7" x14ac:dyDescent="0.25">
      <c r="A43" s="1" t="s">
        <v>157</v>
      </c>
      <c r="B43" s="1" t="s">
        <v>155</v>
      </c>
      <c r="C43" s="1" t="s">
        <v>24</v>
      </c>
      <c r="D43">
        <v>51</v>
      </c>
      <c r="E43" s="1" t="s">
        <v>159</v>
      </c>
      <c r="F43" s="1" t="s">
        <v>263</v>
      </c>
      <c r="G43" s="1" t="s">
        <v>253</v>
      </c>
    </row>
    <row r="44" spans="1:7" x14ac:dyDescent="0.25">
      <c r="A44" s="1" t="s">
        <v>160</v>
      </c>
      <c r="B44" s="1" t="s">
        <v>155</v>
      </c>
      <c r="C44" s="1" t="s">
        <v>31</v>
      </c>
      <c r="D44">
        <v>62</v>
      </c>
      <c r="E44" s="1" t="s">
        <v>162</v>
      </c>
      <c r="F44" s="1" t="s">
        <v>270</v>
      </c>
      <c r="G44" s="1" t="s">
        <v>271</v>
      </c>
    </row>
    <row r="45" spans="1:7" x14ac:dyDescent="0.25">
      <c r="A45" s="1" t="s">
        <v>161</v>
      </c>
      <c r="B45" s="1" t="s">
        <v>155</v>
      </c>
      <c r="C45" s="1" t="s">
        <v>59</v>
      </c>
      <c r="D45">
        <v>13</v>
      </c>
      <c r="E45" s="1" t="s">
        <v>163</v>
      </c>
      <c r="F45" s="1" t="s">
        <v>292</v>
      </c>
      <c r="G45" s="1" t="s">
        <v>253</v>
      </c>
    </row>
    <row r="46" spans="1:7" x14ac:dyDescent="0.25">
      <c r="A46" s="1" t="s">
        <v>165</v>
      </c>
      <c r="B46" s="1" t="s">
        <v>164</v>
      </c>
      <c r="C46" s="1" t="s">
        <v>33</v>
      </c>
      <c r="D46">
        <v>4</v>
      </c>
      <c r="E46" s="1" t="s">
        <v>167</v>
      </c>
      <c r="F46" s="1" t="s">
        <v>293</v>
      </c>
      <c r="G46" s="1" t="s">
        <v>253</v>
      </c>
    </row>
    <row r="47" spans="1:7" x14ac:dyDescent="0.25">
      <c r="A47" s="1" t="s">
        <v>166</v>
      </c>
      <c r="B47" s="1" t="s">
        <v>164</v>
      </c>
      <c r="C47" s="1" t="s">
        <v>33</v>
      </c>
      <c r="D47">
        <v>11</v>
      </c>
      <c r="E47" s="1" t="s">
        <v>168</v>
      </c>
      <c r="F47" s="1" t="s">
        <v>294</v>
      </c>
      <c r="G47" s="1" t="s">
        <v>253</v>
      </c>
    </row>
    <row r="48" spans="1:7" x14ac:dyDescent="0.25">
      <c r="A48" s="1" t="s">
        <v>169</v>
      </c>
      <c r="B48" s="1" t="s">
        <v>164</v>
      </c>
      <c r="C48" s="1" t="s">
        <v>24</v>
      </c>
      <c r="D48">
        <v>65</v>
      </c>
      <c r="E48" s="1" t="s">
        <v>171</v>
      </c>
      <c r="F48" s="1" t="s">
        <v>266</v>
      </c>
      <c r="G48" s="1" t="s">
        <v>253</v>
      </c>
    </row>
    <row r="49" spans="1:7" x14ac:dyDescent="0.25">
      <c r="A49" s="1" t="s">
        <v>170</v>
      </c>
      <c r="B49" s="1" t="s">
        <v>164</v>
      </c>
      <c r="C49" s="1" t="s">
        <v>22</v>
      </c>
      <c r="D49">
        <v>53</v>
      </c>
      <c r="E49" s="1" t="s">
        <v>172</v>
      </c>
      <c r="F49" s="1" t="s">
        <v>295</v>
      </c>
      <c r="G49" s="1" t="s">
        <v>253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830E-108F-40E3-8BBE-B85AB38381A1}">
  <dimension ref="A1:T23"/>
  <sheetViews>
    <sheetView topLeftCell="G1" workbookViewId="0">
      <selection activeCell="V13" sqref="V13"/>
    </sheetView>
  </sheetViews>
  <sheetFormatPr defaultRowHeight="15" x14ac:dyDescent="0.25"/>
  <cols>
    <col min="1" max="1" width="9.7109375" bestFit="1" customWidth="1"/>
    <col min="2" max="2" width="7.140625" bestFit="1" customWidth="1"/>
    <col min="3" max="3" width="18.7109375" bestFit="1" customWidth="1"/>
    <col min="4" max="4" width="13.7109375" bestFit="1" customWidth="1"/>
    <col min="5" max="5" width="14.85546875" bestFit="1" customWidth="1"/>
    <col min="6" max="6" width="13.7109375" bestFit="1" customWidth="1"/>
    <col min="7" max="7" width="14.5703125" bestFit="1" customWidth="1"/>
    <col min="8" max="8" width="8.85546875" bestFit="1" customWidth="1"/>
    <col min="9" max="9" width="11" bestFit="1" customWidth="1"/>
    <col min="10" max="10" width="8" bestFit="1" customWidth="1"/>
    <col min="11" max="11" width="18.42578125" bestFit="1" customWidth="1"/>
    <col min="12" max="12" width="13.42578125" bestFit="1" customWidth="1"/>
    <col min="13" max="13" width="76.7109375" bestFit="1" customWidth="1"/>
    <col min="14" max="14" width="20.85546875" bestFit="1" customWidth="1"/>
    <col min="15" max="15" width="18.5703125" bestFit="1" customWidth="1"/>
    <col min="16" max="16" width="12.28515625" bestFit="1" customWidth="1"/>
    <col min="17" max="17" width="11.5703125" bestFit="1" customWidth="1"/>
    <col min="18" max="18" width="13.5703125" bestFit="1" customWidth="1"/>
    <col min="19" max="19" width="11.85546875" bestFit="1" customWidth="1"/>
    <col min="20" max="20" width="17.42578125" bestFit="1" customWidth="1"/>
  </cols>
  <sheetData>
    <row r="1" spans="1:20" x14ac:dyDescent="0.25">
      <c r="A1" t="s">
        <v>296</v>
      </c>
      <c r="B1" t="s">
        <v>297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</row>
    <row r="2" spans="1:20" x14ac:dyDescent="0.25">
      <c r="A2">
        <v>1</v>
      </c>
      <c r="B2">
        <v>1930</v>
      </c>
      <c r="C2" s="1" t="s">
        <v>128</v>
      </c>
      <c r="D2" s="1" t="s">
        <v>128</v>
      </c>
      <c r="E2" s="1" t="s">
        <v>144</v>
      </c>
      <c r="F2" s="1" t="s">
        <v>316</v>
      </c>
      <c r="G2" s="1" t="s">
        <v>317</v>
      </c>
      <c r="H2">
        <v>13</v>
      </c>
      <c r="I2">
        <v>18</v>
      </c>
      <c r="J2">
        <v>70</v>
      </c>
      <c r="K2">
        <v>3.89</v>
      </c>
      <c r="L2">
        <v>590549</v>
      </c>
      <c r="M2" s="1" t="s">
        <v>318</v>
      </c>
      <c r="N2" s="1" t="s">
        <v>144</v>
      </c>
      <c r="O2">
        <v>8</v>
      </c>
      <c r="P2" s="2">
        <v>11152</v>
      </c>
      <c r="Q2" s="2">
        <v>11169</v>
      </c>
      <c r="R2" s="1" t="s">
        <v>319</v>
      </c>
      <c r="S2" s="1" t="s">
        <v>253</v>
      </c>
      <c r="T2" s="1" t="s">
        <v>320</v>
      </c>
    </row>
    <row r="3" spans="1:20" x14ac:dyDescent="0.25">
      <c r="A3">
        <v>2</v>
      </c>
      <c r="B3">
        <v>1934</v>
      </c>
      <c r="C3" s="1" t="s">
        <v>321</v>
      </c>
      <c r="D3" s="1" t="s">
        <v>321</v>
      </c>
      <c r="E3" s="1" t="s">
        <v>322</v>
      </c>
      <c r="F3" s="1" t="s">
        <v>85</v>
      </c>
      <c r="G3" s="1" t="s">
        <v>150</v>
      </c>
      <c r="H3">
        <v>16</v>
      </c>
      <c r="I3">
        <v>17</v>
      </c>
      <c r="J3">
        <v>70</v>
      </c>
      <c r="K3">
        <v>4.12</v>
      </c>
      <c r="L3">
        <v>363000</v>
      </c>
      <c r="M3" s="1" t="s">
        <v>323</v>
      </c>
      <c r="N3" s="1" t="s">
        <v>322</v>
      </c>
      <c r="O3">
        <v>5</v>
      </c>
      <c r="P3" s="2">
        <v>12566</v>
      </c>
      <c r="Q3" s="2">
        <v>12580</v>
      </c>
      <c r="R3" s="1" t="s">
        <v>324</v>
      </c>
      <c r="S3" s="1" t="s">
        <v>271</v>
      </c>
      <c r="T3" s="1" t="s">
        <v>325</v>
      </c>
    </row>
    <row r="4" spans="1:20" x14ac:dyDescent="0.25">
      <c r="A4">
        <v>3</v>
      </c>
      <c r="B4">
        <v>1938</v>
      </c>
      <c r="C4" s="1" t="s">
        <v>134</v>
      </c>
      <c r="D4" s="1" t="s">
        <v>321</v>
      </c>
      <c r="E4" s="1" t="s">
        <v>326</v>
      </c>
      <c r="F4" s="1" t="s">
        <v>55</v>
      </c>
      <c r="G4" s="1" t="s">
        <v>105</v>
      </c>
      <c r="H4">
        <v>15</v>
      </c>
      <c r="I4">
        <v>18</v>
      </c>
      <c r="J4">
        <v>84</v>
      </c>
      <c r="K4">
        <v>4.67</v>
      </c>
      <c r="L4">
        <v>375700</v>
      </c>
      <c r="M4" s="1" t="s">
        <v>327</v>
      </c>
      <c r="N4" s="1" t="s">
        <v>55</v>
      </c>
      <c r="O4">
        <v>7</v>
      </c>
      <c r="P4" s="2">
        <v>14035</v>
      </c>
      <c r="Q4" s="2">
        <v>14050</v>
      </c>
      <c r="R4" s="1" t="s">
        <v>328</v>
      </c>
      <c r="S4" s="1" t="s">
        <v>271</v>
      </c>
      <c r="T4" s="1" t="s">
        <v>325</v>
      </c>
    </row>
    <row r="5" spans="1:20" x14ac:dyDescent="0.25">
      <c r="A5">
        <v>4</v>
      </c>
      <c r="B5">
        <v>1950</v>
      </c>
      <c r="C5" s="1" t="s">
        <v>55</v>
      </c>
      <c r="D5" s="1" t="s">
        <v>128</v>
      </c>
      <c r="E5" s="1" t="s">
        <v>55</v>
      </c>
      <c r="F5" s="1" t="s">
        <v>105</v>
      </c>
      <c r="G5" s="1" t="s">
        <v>123</v>
      </c>
      <c r="H5">
        <v>13</v>
      </c>
      <c r="I5">
        <v>22</v>
      </c>
      <c r="J5">
        <v>88</v>
      </c>
      <c r="K5">
        <v>4</v>
      </c>
      <c r="L5">
        <v>1045246</v>
      </c>
      <c r="M5" s="1" t="s">
        <v>329</v>
      </c>
      <c r="N5" s="1" t="s">
        <v>55</v>
      </c>
      <c r="O5">
        <v>8</v>
      </c>
      <c r="P5" s="2">
        <v>18438</v>
      </c>
      <c r="Q5" s="2">
        <v>18460</v>
      </c>
      <c r="R5" s="1" t="s">
        <v>330</v>
      </c>
      <c r="S5" s="1" t="s">
        <v>253</v>
      </c>
      <c r="T5" s="1" t="s">
        <v>331</v>
      </c>
    </row>
    <row r="6" spans="1:20" x14ac:dyDescent="0.25">
      <c r="A6">
        <v>5</v>
      </c>
      <c r="B6">
        <v>1954</v>
      </c>
      <c r="C6" s="1" t="s">
        <v>46</v>
      </c>
      <c r="D6" s="1" t="s">
        <v>332</v>
      </c>
      <c r="E6" s="1" t="s">
        <v>326</v>
      </c>
      <c r="F6" s="1" t="s">
        <v>150</v>
      </c>
      <c r="G6" s="1" t="s">
        <v>128</v>
      </c>
      <c r="H6">
        <v>16</v>
      </c>
      <c r="I6">
        <v>26</v>
      </c>
      <c r="J6">
        <v>140</v>
      </c>
      <c r="K6">
        <v>5.38</v>
      </c>
      <c r="L6">
        <v>768607</v>
      </c>
      <c r="M6" s="1" t="s">
        <v>333</v>
      </c>
      <c r="N6" s="1" t="s">
        <v>326</v>
      </c>
      <c r="O6">
        <v>11</v>
      </c>
      <c r="P6" s="2">
        <v>19891</v>
      </c>
      <c r="Q6" s="2">
        <v>19909</v>
      </c>
      <c r="R6" s="1" t="s">
        <v>334</v>
      </c>
      <c r="S6" s="1" t="s">
        <v>253</v>
      </c>
      <c r="T6" s="1" t="s">
        <v>325</v>
      </c>
    </row>
    <row r="7" spans="1:20" x14ac:dyDescent="0.25">
      <c r="A7">
        <v>6</v>
      </c>
      <c r="B7">
        <v>1958</v>
      </c>
      <c r="C7" s="1" t="s">
        <v>105</v>
      </c>
      <c r="D7" s="1" t="s">
        <v>55</v>
      </c>
      <c r="E7" s="1" t="s">
        <v>105</v>
      </c>
      <c r="F7" s="1" t="s">
        <v>134</v>
      </c>
      <c r="G7" s="1" t="s">
        <v>332</v>
      </c>
      <c r="H7">
        <v>16</v>
      </c>
      <c r="I7">
        <v>35</v>
      </c>
      <c r="J7">
        <v>126</v>
      </c>
      <c r="K7">
        <v>3.6</v>
      </c>
      <c r="L7">
        <v>819810</v>
      </c>
      <c r="M7" s="1" t="s">
        <v>335</v>
      </c>
      <c r="N7" s="1" t="s">
        <v>134</v>
      </c>
      <c r="O7">
        <v>13</v>
      </c>
      <c r="P7" s="2">
        <v>21344</v>
      </c>
      <c r="Q7" s="2">
        <v>21365</v>
      </c>
      <c r="R7" s="1" t="s">
        <v>336</v>
      </c>
      <c r="S7" s="1" t="s">
        <v>253</v>
      </c>
      <c r="T7" s="1" t="s">
        <v>325</v>
      </c>
    </row>
    <row r="8" spans="1:20" x14ac:dyDescent="0.25">
      <c r="A8">
        <v>7</v>
      </c>
      <c r="B8">
        <v>1962</v>
      </c>
      <c r="C8" s="1" t="s">
        <v>337</v>
      </c>
      <c r="D8" s="1" t="s">
        <v>55</v>
      </c>
      <c r="E8" s="1" t="s">
        <v>322</v>
      </c>
      <c r="F8" s="1" t="s">
        <v>337</v>
      </c>
      <c r="G8" s="1" t="s">
        <v>317</v>
      </c>
      <c r="H8">
        <v>16</v>
      </c>
      <c r="I8">
        <v>32</v>
      </c>
      <c r="J8">
        <v>89</v>
      </c>
      <c r="K8">
        <v>2.78</v>
      </c>
      <c r="L8">
        <v>893172</v>
      </c>
      <c r="M8" s="1" t="s">
        <v>338</v>
      </c>
      <c r="N8" s="1" t="s">
        <v>339</v>
      </c>
      <c r="O8">
        <v>4</v>
      </c>
      <c r="P8" s="2">
        <v>22796</v>
      </c>
      <c r="Q8" s="2">
        <v>22814</v>
      </c>
      <c r="R8" s="1" t="s">
        <v>340</v>
      </c>
      <c r="S8" s="1" t="s">
        <v>253</v>
      </c>
      <c r="T8" s="1" t="s">
        <v>325</v>
      </c>
    </row>
    <row r="9" spans="1:20" x14ac:dyDescent="0.25">
      <c r="A9">
        <v>8</v>
      </c>
      <c r="B9">
        <v>1966</v>
      </c>
      <c r="C9" s="1" t="s">
        <v>165</v>
      </c>
      <c r="D9" s="1" t="s">
        <v>165</v>
      </c>
      <c r="E9" s="1" t="s">
        <v>332</v>
      </c>
      <c r="F9" s="1" t="s">
        <v>156</v>
      </c>
      <c r="G9" s="1" t="s">
        <v>341</v>
      </c>
      <c r="H9">
        <v>16</v>
      </c>
      <c r="I9">
        <v>32</v>
      </c>
      <c r="J9">
        <v>89</v>
      </c>
      <c r="K9">
        <v>2.78</v>
      </c>
      <c r="L9">
        <v>1563135</v>
      </c>
      <c r="M9" s="1" t="s">
        <v>342</v>
      </c>
      <c r="N9" s="1" t="s">
        <v>156</v>
      </c>
      <c r="O9">
        <v>9</v>
      </c>
      <c r="P9" s="2">
        <v>24299</v>
      </c>
      <c r="Q9" s="2">
        <v>24318</v>
      </c>
      <c r="R9" s="1" t="s">
        <v>343</v>
      </c>
      <c r="S9" s="1" t="s">
        <v>271</v>
      </c>
      <c r="T9" s="1" t="s">
        <v>325</v>
      </c>
    </row>
    <row r="10" spans="1:20" x14ac:dyDescent="0.25">
      <c r="A10">
        <v>9</v>
      </c>
      <c r="B10">
        <v>1970</v>
      </c>
      <c r="C10" s="1" t="s">
        <v>17</v>
      </c>
      <c r="D10" s="1" t="s">
        <v>55</v>
      </c>
      <c r="E10" s="1" t="s">
        <v>321</v>
      </c>
      <c r="F10" s="1" t="s">
        <v>332</v>
      </c>
      <c r="G10" s="1" t="s">
        <v>128</v>
      </c>
      <c r="H10">
        <v>16</v>
      </c>
      <c r="I10">
        <v>32</v>
      </c>
      <c r="J10">
        <v>95</v>
      </c>
      <c r="K10">
        <v>2.97</v>
      </c>
      <c r="L10">
        <v>1603975</v>
      </c>
      <c r="M10" s="1" t="s">
        <v>344</v>
      </c>
      <c r="N10" s="1" t="s">
        <v>332</v>
      </c>
      <c r="O10">
        <v>10</v>
      </c>
      <c r="P10" s="2">
        <v>25719</v>
      </c>
      <c r="Q10" s="2">
        <v>25740</v>
      </c>
      <c r="R10" s="1" t="s">
        <v>20</v>
      </c>
      <c r="S10" s="1" t="s">
        <v>253</v>
      </c>
      <c r="T10" s="1" t="s">
        <v>325</v>
      </c>
    </row>
    <row r="11" spans="1:20" x14ac:dyDescent="0.25">
      <c r="A11">
        <v>10</v>
      </c>
      <c r="B11">
        <v>1974</v>
      </c>
      <c r="C11" s="1" t="s">
        <v>332</v>
      </c>
      <c r="D11" s="1" t="s">
        <v>332</v>
      </c>
      <c r="E11" s="1" t="s">
        <v>100</v>
      </c>
      <c r="F11" s="1" t="s">
        <v>345</v>
      </c>
      <c r="G11" s="1" t="s">
        <v>55</v>
      </c>
      <c r="H11">
        <v>16</v>
      </c>
      <c r="I11">
        <v>38</v>
      </c>
      <c r="J11">
        <v>97</v>
      </c>
      <c r="K11">
        <v>2.5499999999999998</v>
      </c>
      <c r="L11">
        <v>1865753</v>
      </c>
      <c r="M11" s="1" t="s">
        <v>346</v>
      </c>
      <c r="N11" s="1" t="s">
        <v>345</v>
      </c>
      <c r="O11">
        <v>7</v>
      </c>
      <c r="P11" s="2">
        <v>27193</v>
      </c>
      <c r="Q11" s="2">
        <v>27217</v>
      </c>
      <c r="R11" s="1" t="s">
        <v>347</v>
      </c>
      <c r="S11" s="1" t="s">
        <v>271</v>
      </c>
      <c r="T11" s="1" t="s">
        <v>325</v>
      </c>
    </row>
    <row r="12" spans="1:20" x14ac:dyDescent="0.25">
      <c r="A12">
        <v>11</v>
      </c>
      <c r="B12">
        <v>1978</v>
      </c>
      <c r="C12" s="1" t="s">
        <v>144</v>
      </c>
      <c r="D12" s="1" t="s">
        <v>144</v>
      </c>
      <c r="E12" s="1" t="s">
        <v>100</v>
      </c>
      <c r="F12" s="1" t="s">
        <v>55</v>
      </c>
      <c r="G12" s="1" t="s">
        <v>321</v>
      </c>
      <c r="H12">
        <v>16</v>
      </c>
      <c r="I12">
        <v>38</v>
      </c>
      <c r="J12">
        <v>102</v>
      </c>
      <c r="K12">
        <v>2.68</v>
      </c>
      <c r="L12">
        <v>1545791</v>
      </c>
      <c r="M12" s="1" t="s">
        <v>348</v>
      </c>
      <c r="N12" s="1" t="s">
        <v>144</v>
      </c>
      <c r="O12">
        <v>6</v>
      </c>
      <c r="P12" s="2">
        <v>28642</v>
      </c>
      <c r="Q12" s="2">
        <v>28666</v>
      </c>
      <c r="R12" s="1" t="s">
        <v>349</v>
      </c>
      <c r="S12" s="1" t="s">
        <v>271</v>
      </c>
      <c r="T12" s="1" t="s">
        <v>325</v>
      </c>
    </row>
    <row r="13" spans="1:20" x14ac:dyDescent="0.25">
      <c r="A13">
        <v>12</v>
      </c>
      <c r="B13">
        <v>1982</v>
      </c>
      <c r="C13" s="1" t="s">
        <v>123</v>
      </c>
      <c r="D13" s="1" t="s">
        <v>321</v>
      </c>
      <c r="E13" s="1" t="s">
        <v>332</v>
      </c>
      <c r="F13" s="1" t="s">
        <v>345</v>
      </c>
      <c r="G13" s="1" t="s">
        <v>134</v>
      </c>
      <c r="H13">
        <v>24</v>
      </c>
      <c r="I13">
        <v>52</v>
      </c>
      <c r="J13">
        <v>146</v>
      </c>
      <c r="K13">
        <v>2.81</v>
      </c>
      <c r="L13">
        <v>1766277</v>
      </c>
      <c r="M13" s="1" t="s">
        <v>350</v>
      </c>
      <c r="N13" s="1" t="s">
        <v>321</v>
      </c>
      <c r="O13">
        <v>6</v>
      </c>
      <c r="P13" s="2">
        <v>30115</v>
      </c>
      <c r="Q13" s="2">
        <v>30143</v>
      </c>
      <c r="R13" s="1" t="s">
        <v>351</v>
      </c>
      <c r="S13" s="1" t="s">
        <v>253</v>
      </c>
      <c r="T13" s="1" t="s">
        <v>325</v>
      </c>
    </row>
    <row r="14" spans="1:20" x14ac:dyDescent="0.25">
      <c r="A14">
        <v>13</v>
      </c>
      <c r="B14">
        <v>1986</v>
      </c>
      <c r="C14" s="1" t="s">
        <v>17</v>
      </c>
      <c r="D14" s="1" t="s">
        <v>144</v>
      </c>
      <c r="E14" s="1" t="s">
        <v>332</v>
      </c>
      <c r="F14" s="1" t="s">
        <v>134</v>
      </c>
      <c r="G14" s="1" t="s">
        <v>113</v>
      </c>
      <c r="H14">
        <v>24</v>
      </c>
      <c r="I14">
        <v>52</v>
      </c>
      <c r="J14">
        <v>132</v>
      </c>
      <c r="K14">
        <v>2.54</v>
      </c>
      <c r="L14">
        <v>2394031</v>
      </c>
      <c r="M14" s="1" t="s">
        <v>352</v>
      </c>
      <c r="N14" s="1" t="s">
        <v>165</v>
      </c>
      <c r="O14">
        <v>6</v>
      </c>
      <c r="P14" s="2">
        <v>31563</v>
      </c>
      <c r="Q14" s="2">
        <v>31592</v>
      </c>
      <c r="R14" s="1" t="s">
        <v>20</v>
      </c>
      <c r="S14" s="1" t="s">
        <v>253</v>
      </c>
      <c r="T14" s="1" t="s">
        <v>325</v>
      </c>
    </row>
    <row r="15" spans="1:20" x14ac:dyDescent="0.25">
      <c r="A15">
        <v>14</v>
      </c>
      <c r="B15">
        <v>1990</v>
      </c>
      <c r="C15" s="1" t="s">
        <v>321</v>
      </c>
      <c r="D15" s="1" t="s">
        <v>332</v>
      </c>
      <c r="E15" s="1" t="s">
        <v>144</v>
      </c>
      <c r="F15" s="1" t="s">
        <v>321</v>
      </c>
      <c r="G15" s="1" t="s">
        <v>165</v>
      </c>
      <c r="H15">
        <v>24</v>
      </c>
      <c r="I15">
        <v>52</v>
      </c>
      <c r="J15">
        <v>115</v>
      </c>
      <c r="K15">
        <v>2.21</v>
      </c>
      <c r="L15">
        <v>2516215</v>
      </c>
      <c r="M15" s="1" t="s">
        <v>353</v>
      </c>
      <c r="N15" s="1" t="s">
        <v>321</v>
      </c>
      <c r="O15">
        <v>6</v>
      </c>
      <c r="P15" s="2">
        <v>33032</v>
      </c>
      <c r="Q15" s="2">
        <v>33062</v>
      </c>
      <c r="R15" s="1" t="s">
        <v>324</v>
      </c>
      <c r="S15" s="1" t="s">
        <v>253</v>
      </c>
      <c r="T15" s="1" t="s">
        <v>325</v>
      </c>
    </row>
    <row r="16" spans="1:20" x14ac:dyDescent="0.25">
      <c r="A16">
        <v>15</v>
      </c>
      <c r="B16">
        <v>1994</v>
      </c>
      <c r="C16" s="1" t="s">
        <v>316</v>
      </c>
      <c r="D16" s="1" t="s">
        <v>55</v>
      </c>
      <c r="E16" s="1" t="s">
        <v>321</v>
      </c>
      <c r="F16" s="1" t="s">
        <v>105</v>
      </c>
      <c r="G16" s="1" t="s">
        <v>354</v>
      </c>
      <c r="H16">
        <v>24</v>
      </c>
      <c r="I16">
        <v>52</v>
      </c>
      <c r="J16">
        <v>141</v>
      </c>
      <c r="K16">
        <v>2.71</v>
      </c>
      <c r="L16">
        <v>3587538</v>
      </c>
      <c r="M16" s="1" t="s">
        <v>355</v>
      </c>
      <c r="N16" s="1" t="s">
        <v>356</v>
      </c>
      <c r="O16">
        <v>6</v>
      </c>
      <c r="P16" s="2">
        <v>34502</v>
      </c>
      <c r="Q16" s="2">
        <v>34532</v>
      </c>
      <c r="R16" s="1" t="s">
        <v>185</v>
      </c>
      <c r="S16" s="1" t="s">
        <v>253</v>
      </c>
      <c r="T16" s="1" t="s">
        <v>325</v>
      </c>
    </row>
    <row r="17" spans="1:20" x14ac:dyDescent="0.25">
      <c r="A17">
        <v>16</v>
      </c>
      <c r="B17">
        <v>1998</v>
      </c>
      <c r="C17" s="1" t="s">
        <v>134</v>
      </c>
      <c r="D17" s="1" t="s">
        <v>134</v>
      </c>
      <c r="E17" s="1" t="s">
        <v>55</v>
      </c>
      <c r="F17" s="1" t="s">
        <v>166</v>
      </c>
      <c r="G17" s="1" t="s">
        <v>100</v>
      </c>
      <c r="H17">
        <v>32</v>
      </c>
      <c r="I17">
        <v>64</v>
      </c>
      <c r="J17">
        <v>171</v>
      </c>
      <c r="K17">
        <v>2.67</v>
      </c>
      <c r="L17">
        <v>2785100</v>
      </c>
      <c r="M17" s="1" t="s">
        <v>357</v>
      </c>
      <c r="N17" s="1" t="s">
        <v>166</v>
      </c>
      <c r="O17">
        <v>6</v>
      </c>
      <c r="P17" s="2">
        <v>35956</v>
      </c>
      <c r="Q17" s="2">
        <v>35988</v>
      </c>
      <c r="R17" s="1" t="s">
        <v>328</v>
      </c>
      <c r="S17" s="1" t="s">
        <v>271</v>
      </c>
      <c r="T17" s="1" t="s">
        <v>325</v>
      </c>
    </row>
    <row r="18" spans="1:20" x14ac:dyDescent="0.25">
      <c r="A18">
        <v>17</v>
      </c>
      <c r="B18">
        <v>2002</v>
      </c>
      <c r="C18" s="1" t="s">
        <v>358</v>
      </c>
      <c r="D18" s="1" t="s">
        <v>55</v>
      </c>
      <c r="E18" s="1" t="s">
        <v>85</v>
      </c>
      <c r="F18" s="1" t="s">
        <v>359</v>
      </c>
      <c r="G18" s="1" t="s">
        <v>26</v>
      </c>
      <c r="H18">
        <v>32</v>
      </c>
      <c r="I18">
        <v>64</v>
      </c>
      <c r="J18">
        <v>161</v>
      </c>
      <c r="K18">
        <v>2.52</v>
      </c>
      <c r="L18">
        <v>2705197</v>
      </c>
      <c r="M18" s="1" t="s">
        <v>360</v>
      </c>
      <c r="N18" s="1" t="s">
        <v>55</v>
      </c>
      <c r="O18">
        <v>8</v>
      </c>
      <c r="P18" s="2">
        <v>37407</v>
      </c>
      <c r="Q18" s="2">
        <v>37437</v>
      </c>
      <c r="R18" s="1" t="s">
        <v>361</v>
      </c>
      <c r="S18" s="1" t="s">
        <v>253</v>
      </c>
      <c r="T18" s="1" t="s">
        <v>325</v>
      </c>
    </row>
    <row r="19" spans="1:20" x14ac:dyDescent="0.25">
      <c r="A19">
        <v>18</v>
      </c>
      <c r="B19">
        <v>2006</v>
      </c>
      <c r="C19" s="1" t="s">
        <v>85</v>
      </c>
      <c r="D19" s="1" t="s">
        <v>321</v>
      </c>
      <c r="E19" s="1" t="s">
        <v>134</v>
      </c>
      <c r="F19" s="1" t="s">
        <v>85</v>
      </c>
      <c r="G19" s="1" t="s">
        <v>156</v>
      </c>
      <c r="H19">
        <v>32</v>
      </c>
      <c r="I19">
        <v>64</v>
      </c>
      <c r="J19">
        <v>147</v>
      </c>
      <c r="K19">
        <v>2.2999999999999998</v>
      </c>
      <c r="L19">
        <v>3359439</v>
      </c>
      <c r="M19" s="1" t="s">
        <v>362</v>
      </c>
      <c r="N19" s="1" t="s">
        <v>85</v>
      </c>
      <c r="O19">
        <v>5</v>
      </c>
      <c r="P19" s="2">
        <v>38877</v>
      </c>
      <c r="Q19" s="2">
        <v>38907</v>
      </c>
      <c r="R19" s="1" t="s">
        <v>363</v>
      </c>
      <c r="S19" s="1" t="s">
        <v>253</v>
      </c>
      <c r="T19" s="1" t="s">
        <v>325</v>
      </c>
    </row>
    <row r="20" spans="1:20" x14ac:dyDescent="0.25">
      <c r="A20">
        <v>19</v>
      </c>
      <c r="B20">
        <v>2010</v>
      </c>
      <c r="C20" s="1" t="s">
        <v>18</v>
      </c>
      <c r="D20" s="1" t="s">
        <v>123</v>
      </c>
      <c r="E20" s="1" t="s">
        <v>100</v>
      </c>
      <c r="F20" s="1" t="s">
        <v>85</v>
      </c>
      <c r="G20" s="1" t="s">
        <v>128</v>
      </c>
      <c r="H20">
        <v>32</v>
      </c>
      <c r="I20">
        <v>64</v>
      </c>
      <c r="J20">
        <v>145</v>
      </c>
      <c r="K20">
        <v>2.27</v>
      </c>
      <c r="L20">
        <v>3178856</v>
      </c>
      <c r="M20" s="1" t="s">
        <v>364</v>
      </c>
      <c r="N20" s="1" t="s">
        <v>339</v>
      </c>
      <c r="O20">
        <v>5</v>
      </c>
      <c r="P20" s="2">
        <v>40340</v>
      </c>
      <c r="Q20" s="2">
        <v>40370</v>
      </c>
      <c r="R20" s="1" t="s">
        <v>365</v>
      </c>
      <c r="S20" s="1" t="s">
        <v>253</v>
      </c>
      <c r="T20" s="1" t="s">
        <v>325</v>
      </c>
    </row>
    <row r="21" spans="1:20" x14ac:dyDescent="0.25">
      <c r="A21">
        <v>20</v>
      </c>
      <c r="B21">
        <v>2014</v>
      </c>
      <c r="C21" s="1" t="s">
        <v>55</v>
      </c>
      <c r="D21" s="1" t="s">
        <v>85</v>
      </c>
      <c r="E21" s="1" t="s">
        <v>144</v>
      </c>
      <c r="F21" s="1" t="s">
        <v>100</v>
      </c>
      <c r="G21" s="1" t="s">
        <v>55</v>
      </c>
      <c r="H21">
        <v>32</v>
      </c>
      <c r="I21">
        <v>64</v>
      </c>
      <c r="J21">
        <v>171</v>
      </c>
      <c r="K21">
        <v>2.67</v>
      </c>
      <c r="L21">
        <v>3429873</v>
      </c>
      <c r="M21" s="1" t="s">
        <v>366</v>
      </c>
      <c r="N21" s="1" t="s">
        <v>161</v>
      </c>
      <c r="O21">
        <v>6</v>
      </c>
      <c r="P21" s="2">
        <v>41802</v>
      </c>
      <c r="Q21" s="2">
        <v>41833</v>
      </c>
      <c r="R21" s="1" t="s">
        <v>330</v>
      </c>
      <c r="S21" s="1" t="s">
        <v>253</v>
      </c>
      <c r="T21" s="1" t="s">
        <v>325</v>
      </c>
    </row>
    <row r="22" spans="1:20" x14ac:dyDescent="0.25">
      <c r="A22">
        <v>21</v>
      </c>
      <c r="B22">
        <v>2018</v>
      </c>
      <c r="C22" s="1" t="s">
        <v>367</v>
      </c>
      <c r="D22" s="1" t="s">
        <v>134</v>
      </c>
      <c r="E22" s="1" t="s">
        <v>166</v>
      </c>
      <c r="F22" s="1" t="s">
        <v>113</v>
      </c>
      <c r="G22" s="1" t="s">
        <v>165</v>
      </c>
      <c r="H22">
        <v>32</v>
      </c>
      <c r="I22">
        <v>64</v>
      </c>
      <c r="J22">
        <v>169</v>
      </c>
      <c r="K22">
        <v>2.64</v>
      </c>
      <c r="L22">
        <v>3031768</v>
      </c>
      <c r="M22" s="1" t="s">
        <v>368</v>
      </c>
      <c r="N22" s="1" t="s">
        <v>165</v>
      </c>
      <c r="O22">
        <v>6</v>
      </c>
      <c r="P22" s="2">
        <v>43265</v>
      </c>
      <c r="Q22" s="2">
        <v>43296</v>
      </c>
      <c r="R22" s="1" t="s">
        <v>369</v>
      </c>
      <c r="S22" s="1" t="s">
        <v>253</v>
      </c>
      <c r="T22" s="1" t="s">
        <v>325</v>
      </c>
    </row>
    <row r="23" spans="1:20" x14ac:dyDescent="0.25">
      <c r="A23">
        <v>22</v>
      </c>
      <c r="B23">
        <v>2022</v>
      </c>
      <c r="C23" s="1" t="s">
        <v>45</v>
      </c>
      <c r="D23" s="1" t="s">
        <v>144</v>
      </c>
      <c r="E23" s="1" t="s">
        <v>134</v>
      </c>
      <c r="F23" s="1" t="s">
        <v>166</v>
      </c>
      <c r="G23" s="1" t="s">
        <v>56</v>
      </c>
      <c r="H23">
        <v>32</v>
      </c>
      <c r="I23">
        <v>64</v>
      </c>
      <c r="J23">
        <v>172</v>
      </c>
      <c r="K23">
        <v>2.69</v>
      </c>
      <c r="L23">
        <v>3404252</v>
      </c>
      <c r="M23" s="1" t="s">
        <v>370</v>
      </c>
      <c r="N23" s="1" t="s">
        <v>134</v>
      </c>
      <c r="O23">
        <v>8</v>
      </c>
      <c r="P23" s="2">
        <v>44885</v>
      </c>
      <c r="Q23" s="2">
        <v>44913</v>
      </c>
      <c r="R23" s="1" t="s">
        <v>371</v>
      </c>
      <c r="S23" s="1" t="s">
        <v>253</v>
      </c>
      <c r="T23" s="1" t="s">
        <v>325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68C2-BEFB-4060-AEED-7D0115E4B714}">
  <dimension ref="A3:C2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4.28515625" bestFit="1" customWidth="1"/>
    <col min="3" max="3" width="18" bestFit="1" customWidth="1"/>
    <col min="4" max="4" width="11.5703125" bestFit="1" customWidth="1"/>
    <col min="5" max="5" width="12" bestFit="1" customWidth="1"/>
    <col min="6" max="6" width="12.5703125" bestFit="1" customWidth="1"/>
    <col min="7" max="7" width="11.5703125" bestFit="1" customWidth="1"/>
    <col min="8" max="8" width="10.28515625" bestFit="1" customWidth="1"/>
    <col min="9" max="9" width="16.7109375" bestFit="1" customWidth="1"/>
    <col min="10" max="10" width="11.28515625" bestFit="1" customWidth="1"/>
  </cols>
  <sheetData>
    <row r="3" spans="1:3" x14ac:dyDescent="0.25">
      <c r="A3" s="3" t="s">
        <v>657</v>
      </c>
      <c r="B3" t="s">
        <v>659</v>
      </c>
      <c r="C3" t="s">
        <v>660</v>
      </c>
    </row>
    <row r="4" spans="1:3" x14ac:dyDescent="0.25">
      <c r="A4" s="4">
        <v>1930</v>
      </c>
      <c r="B4" s="1">
        <v>8</v>
      </c>
      <c r="C4" s="1">
        <v>41</v>
      </c>
    </row>
    <row r="5" spans="1:3" x14ac:dyDescent="0.25">
      <c r="A5" s="4">
        <v>1934</v>
      </c>
      <c r="B5" s="1">
        <v>7</v>
      </c>
      <c r="C5" s="1">
        <v>30</v>
      </c>
    </row>
    <row r="6" spans="1:3" x14ac:dyDescent="0.25">
      <c r="A6" s="4">
        <v>1938</v>
      </c>
      <c r="B6" s="1">
        <v>7</v>
      </c>
      <c r="C6" s="1">
        <v>37</v>
      </c>
    </row>
    <row r="7" spans="1:3" x14ac:dyDescent="0.25">
      <c r="A7" s="4">
        <v>1950</v>
      </c>
      <c r="B7" s="1">
        <v>5</v>
      </c>
      <c r="C7" s="1">
        <v>21</v>
      </c>
    </row>
    <row r="8" spans="1:3" x14ac:dyDescent="0.25">
      <c r="A8" s="4">
        <v>1954</v>
      </c>
      <c r="B8" s="1">
        <v>7</v>
      </c>
      <c r="C8" s="1">
        <v>54</v>
      </c>
    </row>
    <row r="9" spans="1:3" x14ac:dyDescent="0.25">
      <c r="A9" s="4">
        <v>1958</v>
      </c>
      <c r="B9" s="1">
        <v>7</v>
      </c>
      <c r="C9" s="1">
        <v>44</v>
      </c>
    </row>
    <row r="10" spans="1:3" x14ac:dyDescent="0.25">
      <c r="A10" s="4">
        <v>1962</v>
      </c>
      <c r="B10" s="1">
        <v>7</v>
      </c>
      <c r="C10" s="1">
        <v>21</v>
      </c>
    </row>
    <row r="11" spans="1:3" x14ac:dyDescent="0.25">
      <c r="A11" s="4">
        <v>1966</v>
      </c>
      <c r="B11" s="1">
        <v>8</v>
      </c>
      <c r="C11" s="1">
        <v>25</v>
      </c>
    </row>
    <row r="12" spans="1:3" x14ac:dyDescent="0.25">
      <c r="A12" s="4">
        <v>1970</v>
      </c>
      <c r="B12" s="1">
        <v>8</v>
      </c>
      <c r="C12" s="1">
        <v>46</v>
      </c>
    </row>
    <row r="13" spans="1:3" x14ac:dyDescent="0.25">
      <c r="A13" s="4">
        <v>1974</v>
      </c>
      <c r="B13" s="1">
        <v>6</v>
      </c>
      <c r="C13" s="1">
        <v>8</v>
      </c>
    </row>
    <row r="14" spans="1:3" x14ac:dyDescent="0.25">
      <c r="A14" s="4">
        <v>1978</v>
      </c>
      <c r="B14" s="1">
        <v>5</v>
      </c>
      <c r="C14" s="1">
        <v>17</v>
      </c>
    </row>
    <row r="15" spans="1:3" x14ac:dyDescent="0.25">
      <c r="A15" s="4">
        <v>1982</v>
      </c>
      <c r="B15" s="1">
        <v>7</v>
      </c>
      <c r="C15" s="1">
        <v>19</v>
      </c>
    </row>
    <row r="16" spans="1:3" x14ac:dyDescent="0.25">
      <c r="A16" s="4">
        <v>1986</v>
      </c>
      <c r="B16" s="1">
        <v>8</v>
      </c>
      <c r="C16" s="1">
        <v>32</v>
      </c>
    </row>
    <row r="17" spans="1:3" x14ac:dyDescent="0.25">
      <c r="A17" s="4">
        <v>1990</v>
      </c>
      <c r="B17" s="1">
        <v>9</v>
      </c>
      <c r="C17" s="1">
        <v>12</v>
      </c>
    </row>
    <row r="18" spans="1:3" x14ac:dyDescent="0.25">
      <c r="A18" s="4">
        <v>1994</v>
      </c>
      <c r="B18" s="1">
        <v>8</v>
      </c>
      <c r="C18" s="1">
        <v>20</v>
      </c>
    </row>
    <row r="19" spans="1:3" x14ac:dyDescent="0.25">
      <c r="A19" s="4">
        <v>1998</v>
      </c>
      <c r="B19" s="1">
        <v>10</v>
      </c>
      <c r="C19" s="1">
        <v>27</v>
      </c>
    </row>
    <row r="20" spans="1:3" x14ac:dyDescent="0.25">
      <c r="A20" s="4">
        <v>2002</v>
      </c>
      <c r="B20" s="1">
        <v>9</v>
      </c>
      <c r="C20" s="1">
        <v>18</v>
      </c>
    </row>
    <row r="21" spans="1:3" x14ac:dyDescent="0.25">
      <c r="A21" s="4">
        <v>2006</v>
      </c>
      <c r="B21" s="1">
        <v>10</v>
      </c>
      <c r="C21" s="1">
        <v>26</v>
      </c>
    </row>
    <row r="22" spans="1:3" x14ac:dyDescent="0.25">
      <c r="A22" s="4">
        <v>2010</v>
      </c>
      <c r="B22" s="1">
        <v>11</v>
      </c>
      <c r="C22" s="1">
        <v>35</v>
      </c>
    </row>
    <row r="23" spans="1:3" x14ac:dyDescent="0.25">
      <c r="A23" s="4">
        <v>2014</v>
      </c>
      <c r="B23" s="1">
        <v>11</v>
      </c>
      <c r="C23" s="1">
        <v>31</v>
      </c>
    </row>
    <row r="24" spans="1:3" x14ac:dyDescent="0.25">
      <c r="A24" s="4">
        <v>2018</v>
      </c>
      <c r="B24" s="1">
        <v>12</v>
      </c>
      <c r="C24" s="1">
        <v>39</v>
      </c>
    </row>
    <row r="25" spans="1:3" x14ac:dyDescent="0.25">
      <c r="A25" s="4">
        <v>2022</v>
      </c>
      <c r="B25" s="1">
        <v>14</v>
      </c>
      <c r="C25" s="1">
        <v>43</v>
      </c>
    </row>
    <row r="26" spans="1:3" x14ac:dyDescent="0.25">
      <c r="A26" s="4" t="s">
        <v>658</v>
      </c>
      <c r="B26" s="1">
        <v>184</v>
      </c>
      <c r="C26" s="1">
        <v>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0A5C-B368-46DA-9565-2DC3889D741E}">
  <dimension ref="A1:L185"/>
  <sheetViews>
    <sheetView workbookViewId="0">
      <selection activeCell="B3" sqref="B3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14.85546875" bestFit="1" customWidth="1"/>
    <col min="4" max="5" width="9.28515625" bestFit="1" customWidth="1"/>
    <col min="6" max="6" width="13.28515625" bestFit="1" customWidth="1"/>
    <col min="7" max="7" width="15.7109375" bestFit="1" customWidth="1"/>
    <col min="8" max="8" width="28.42578125" bestFit="1" customWidth="1"/>
    <col min="9" max="9" width="14.85546875" bestFit="1" customWidth="1"/>
    <col min="10" max="10" width="13.7109375" bestFit="1" customWidth="1"/>
    <col min="11" max="11" width="10.42578125" bestFit="1" customWidth="1"/>
    <col min="12" max="12" width="38.42578125" bestFit="1" customWidth="1"/>
  </cols>
  <sheetData>
    <row r="1" spans="1:12" x14ac:dyDescent="0.25">
      <c r="A1" t="s">
        <v>297</v>
      </c>
      <c r="B1" t="s">
        <v>1</v>
      </c>
      <c r="C1" t="s">
        <v>2</v>
      </c>
      <c r="D1" t="s">
        <v>372</v>
      </c>
      <c r="E1" t="s">
        <v>373</v>
      </c>
      <c r="F1" t="s">
        <v>656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374</v>
      </c>
    </row>
    <row r="2" spans="1:12" x14ac:dyDescent="0.25">
      <c r="A2">
        <v>1930</v>
      </c>
      <c r="B2" s="1" t="s">
        <v>16</v>
      </c>
      <c r="C2" s="1" t="s">
        <v>134</v>
      </c>
      <c r="D2">
        <v>4</v>
      </c>
      <c r="E2">
        <v>1</v>
      </c>
      <c r="F2">
        <f>wc_all_matches[[#This Row],[score1]]+wc_all_matches[[#This Row],[score2]]</f>
        <v>5</v>
      </c>
      <c r="G2" s="1" t="s">
        <v>17</v>
      </c>
      <c r="H2" s="1" t="s">
        <v>375</v>
      </c>
      <c r="I2" s="1" t="s">
        <v>319</v>
      </c>
      <c r="J2" s="1" t="s">
        <v>128</v>
      </c>
      <c r="K2" s="2">
        <v>11152</v>
      </c>
      <c r="L2" s="1" t="s">
        <v>376</v>
      </c>
    </row>
    <row r="3" spans="1:12" x14ac:dyDescent="0.25">
      <c r="A3">
        <v>1930</v>
      </c>
      <c r="B3" s="1" t="s">
        <v>16</v>
      </c>
      <c r="C3" s="1" t="s">
        <v>49</v>
      </c>
      <c r="D3">
        <v>3</v>
      </c>
      <c r="E3">
        <v>0</v>
      </c>
      <c r="F3">
        <f>wc_all_matches[[#This Row],[score1]]+wc_all_matches[[#This Row],[score2]]</f>
        <v>3</v>
      </c>
      <c r="G3" s="1" t="s">
        <v>113</v>
      </c>
      <c r="H3" s="1" t="s">
        <v>375</v>
      </c>
      <c r="I3" s="1" t="s">
        <v>319</v>
      </c>
      <c r="J3" s="1" t="s">
        <v>128</v>
      </c>
      <c r="K3" s="2">
        <v>11152</v>
      </c>
      <c r="L3" s="1" t="s">
        <v>173</v>
      </c>
    </row>
    <row r="4" spans="1:12" x14ac:dyDescent="0.25">
      <c r="A4">
        <v>1930</v>
      </c>
      <c r="B4" s="1" t="s">
        <v>16</v>
      </c>
      <c r="C4" s="1" t="s">
        <v>317</v>
      </c>
      <c r="D4">
        <v>2</v>
      </c>
      <c r="E4">
        <v>1</v>
      </c>
      <c r="F4">
        <f>wc_all_matches[[#This Row],[score1]]+wc_all_matches[[#This Row],[score2]]</f>
        <v>3</v>
      </c>
      <c r="G4" s="1" t="s">
        <v>55</v>
      </c>
      <c r="H4" s="1" t="s">
        <v>375</v>
      </c>
      <c r="I4" s="1" t="s">
        <v>319</v>
      </c>
      <c r="J4" s="1" t="s">
        <v>128</v>
      </c>
      <c r="K4" s="2">
        <v>11153</v>
      </c>
      <c r="L4" s="1" t="s">
        <v>173</v>
      </c>
    </row>
    <row r="5" spans="1:12" x14ac:dyDescent="0.25">
      <c r="A5">
        <v>1930</v>
      </c>
      <c r="B5" s="1" t="s">
        <v>16</v>
      </c>
      <c r="C5" s="1" t="s">
        <v>128</v>
      </c>
      <c r="D5">
        <v>1</v>
      </c>
      <c r="E5">
        <v>0</v>
      </c>
      <c r="F5">
        <f>wc_all_matches[[#This Row],[score1]]+wc_all_matches[[#This Row],[score2]]</f>
        <v>1</v>
      </c>
      <c r="G5" s="1" t="s">
        <v>377</v>
      </c>
      <c r="H5" s="1" t="s">
        <v>375</v>
      </c>
      <c r="I5" s="1" t="s">
        <v>319</v>
      </c>
      <c r="J5" s="1" t="s">
        <v>128</v>
      </c>
      <c r="K5" s="2">
        <v>11157</v>
      </c>
      <c r="L5" s="1" t="s">
        <v>173</v>
      </c>
    </row>
    <row r="6" spans="1:12" x14ac:dyDescent="0.25">
      <c r="A6">
        <v>1930</v>
      </c>
      <c r="B6" s="1" t="s">
        <v>16</v>
      </c>
      <c r="C6" s="1" t="s">
        <v>144</v>
      </c>
      <c r="D6">
        <v>6</v>
      </c>
      <c r="E6">
        <v>3</v>
      </c>
      <c r="F6">
        <f>wc_all_matches[[#This Row],[score1]]+wc_all_matches[[#This Row],[score2]]</f>
        <v>9</v>
      </c>
      <c r="G6" s="1" t="s">
        <v>49</v>
      </c>
      <c r="H6" s="1" t="s">
        <v>375</v>
      </c>
      <c r="I6" s="1" t="s">
        <v>319</v>
      </c>
      <c r="J6" s="1" t="s">
        <v>128</v>
      </c>
      <c r="K6" s="2">
        <v>11165</v>
      </c>
      <c r="L6" s="1" t="s">
        <v>173</v>
      </c>
    </row>
    <row r="7" spans="1:12" x14ac:dyDescent="0.25">
      <c r="A7">
        <v>1930</v>
      </c>
      <c r="B7" s="1" t="s">
        <v>236</v>
      </c>
      <c r="C7" s="1" t="s">
        <v>128</v>
      </c>
      <c r="D7">
        <v>6</v>
      </c>
      <c r="E7">
        <v>1</v>
      </c>
      <c r="F7">
        <f>wc_all_matches[[#This Row],[score1]]+wc_all_matches[[#This Row],[score2]]</f>
        <v>7</v>
      </c>
      <c r="G7" s="1" t="s">
        <v>317</v>
      </c>
      <c r="H7" s="1" t="s">
        <v>375</v>
      </c>
      <c r="I7" s="1" t="s">
        <v>319</v>
      </c>
      <c r="J7" s="1" t="s">
        <v>128</v>
      </c>
      <c r="K7" s="2">
        <v>11166</v>
      </c>
      <c r="L7" s="1" t="s">
        <v>173</v>
      </c>
    </row>
    <row r="8" spans="1:12" x14ac:dyDescent="0.25">
      <c r="A8">
        <v>1930</v>
      </c>
      <c r="B8" s="1" t="s">
        <v>236</v>
      </c>
      <c r="C8" s="1" t="s">
        <v>144</v>
      </c>
      <c r="D8">
        <v>6</v>
      </c>
      <c r="E8">
        <v>1</v>
      </c>
      <c r="F8">
        <f>wc_all_matches[[#This Row],[score1]]+wc_all_matches[[#This Row],[score2]]</f>
        <v>7</v>
      </c>
      <c r="G8" s="1" t="s">
        <v>49</v>
      </c>
      <c r="H8" s="1" t="s">
        <v>375</v>
      </c>
      <c r="I8" s="1" t="s">
        <v>319</v>
      </c>
      <c r="J8" s="1" t="s">
        <v>128</v>
      </c>
      <c r="K8" s="2">
        <v>11165</v>
      </c>
      <c r="L8" s="1" t="s">
        <v>173</v>
      </c>
    </row>
    <row r="9" spans="1:12" x14ac:dyDescent="0.25">
      <c r="A9">
        <v>1930</v>
      </c>
      <c r="B9" s="1" t="s">
        <v>243</v>
      </c>
      <c r="C9" s="1" t="s">
        <v>128</v>
      </c>
      <c r="D9">
        <v>4</v>
      </c>
      <c r="E9">
        <v>2</v>
      </c>
      <c r="F9">
        <f>wc_all_matches[[#This Row],[score1]]+wc_all_matches[[#This Row],[score2]]</f>
        <v>6</v>
      </c>
      <c r="G9" s="1" t="s">
        <v>144</v>
      </c>
      <c r="H9" s="1" t="s">
        <v>375</v>
      </c>
      <c r="I9" s="1" t="s">
        <v>319</v>
      </c>
      <c r="J9" s="1" t="s">
        <v>128</v>
      </c>
      <c r="K9" s="2">
        <v>11169</v>
      </c>
      <c r="L9" s="1" t="s">
        <v>378</v>
      </c>
    </row>
    <row r="10" spans="1:12" x14ac:dyDescent="0.25">
      <c r="A10">
        <v>1934</v>
      </c>
      <c r="B10" s="1" t="s">
        <v>210</v>
      </c>
      <c r="C10" s="1" t="s">
        <v>321</v>
      </c>
      <c r="D10">
        <v>7</v>
      </c>
      <c r="E10">
        <v>1</v>
      </c>
      <c r="F10">
        <f>wc_all_matches[[#This Row],[score1]]+wc_all_matches[[#This Row],[score2]]</f>
        <v>8</v>
      </c>
      <c r="G10" s="1" t="s">
        <v>49</v>
      </c>
      <c r="H10" s="1" t="s">
        <v>379</v>
      </c>
      <c r="I10" s="1" t="s">
        <v>324</v>
      </c>
      <c r="J10" s="1" t="s">
        <v>321</v>
      </c>
      <c r="K10" s="2">
        <v>12566</v>
      </c>
      <c r="L10" s="1" t="s">
        <v>173</v>
      </c>
    </row>
    <row r="11" spans="1:12" x14ac:dyDescent="0.25">
      <c r="A11">
        <v>1934</v>
      </c>
      <c r="B11" s="1" t="s">
        <v>210</v>
      </c>
      <c r="C11" s="1" t="s">
        <v>85</v>
      </c>
      <c r="D11">
        <v>5</v>
      </c>
      <c r="E11">
        <v>2</v>
      </c>
      <c r="F11">
        <f>wc_all_matches[[#This Row],[score1]]+wc_all_matches[[#This Row],[score2]]</f>
        <v>7</v>
      </c>
      <c r="G11" s="1" t="s">
        <v>113</v>
      </c>
      <c r="H11" s="1" t="s">
        <v>379</v>
      </c>
      <c r="I11" s="1" t="s">
        <v>380</v>
      </c>
      <c r="J11" s="1" t="s">
        <v>321</v>
      </c>
      <c r="K11" s="2">
        <v>12566</v>
      </c>
      <c r="L11" s="1" t="s">
        <v>173</v>
      </c>
    </row>
    <row r="12" spans="1:12" x14ac:dyDescent="0.25">
      <c r="A12">
        <v>1934</v>
      </c>
      <c r="B12" s="1" t="s">
        <v>227</v>
      </c>
      <c r="C12" s="1" t="s">
        <v>321</v>
      </c>
      <c r="D12">
        <v>1</v>
      </c>
      <c r="E12">
        <v>1</v>
      </c>
      <c r="F12">
        <f>wc_all_matches[[#This Row],[score1]]+wc_all_matches[[#This Row],[score2]]</f>
        <v>2</v>
      </c>
      <c r="G12" s="1" t="s">
        <v>123</v>
      </c>
      <c r="H12" s="1" t="s">
        <v>379</v>
      </c>
      <c r="I12" s="1" t="s">
        <v>380</v>
      </c>
      <c r="J12" s="1" t="s">
        <v>321</v>
      </c>
      <c r="K12" s="2">
        <v>12570</v>
      </c>
      <c r="L12" s="1" t="s">
        <v>381</v>
      </c>
    </row>
    <row r="13" spans="1:12" x14ac:dyDescent="0.25">
      <c r="A13">
        <v>1934</v>
      </c>
      <c r="B13" s="1" t="s">
        <v>236</v>
      </c>
      <c r="C13" s="1" t="s">
        <v>321</v>
      </c>
      <c r="D13">
        <v>1</v>
      </c>
      <c r="E13">
        <v>0</v>
      </c>
      <c r="F13">
        <f>wc_all_matches[[#This Row],[score1]]+wc_all_matches[[#This Row],[score2]]</f>
        <v>1</v>
      </c>
      <c r="G13" s="1" t="s">
        <v>150</v>
      </c>
      <c r="H13" s="1" t="s">
        <v>382</v>
      </c>
      <c r="I13" s="1" t="s">
        <v>383</v>
      </c>
      <c r="J13" s="1" t="s">
        <v>321</v>
      </c>
      <c r="K13" s="2">
        <v>12573</v>
      </c>
      <c r="L13" s="1" t="s">
        <v>173</v>
      </c>
    </row>
    <row r="14" spans="1:12" x14ac:dyDescent="0.25">
      <c r="A14">
        <v>1934</v>
      </c>
      <c r="B14" s="1" t="s">
        <v>236</v>
      </c>
      <c r="C14" s="1" t="s">
        <v>85</v>
      </c>
      <c r="D14">
        <v>3</v>
      </c>
      <c r="E14">
        <v>1</v>
      </c>
      <c r="F14">
        <f>wc_all_matches[[#This Row],[score1]]+wc_all_matches[[#This Row],[score2]]</f>
        <v>4</v>
      </c>
      <c r="G14" s="1" t="s">
        <v>105</v>
      </c>
      <c r="H14" s="1" t="s">
        <v>384</v>
      </c>
      <c r="I14" s="1" t="s">
        <v>385</v>
      </c>
      <c r="J14" s="1" t="s">
        <v>321</v>
      </c>
      <c r="K14" s="2">
        <v>12573</v>
      </c>
      <c r="L14" s="1" t="s">
        <v>173</v>
      </c>
    </row>
    <row r="15" spans="1:12" x14ac:dyDescent="0.25">
      <c r="A15">
        <v>1934</v>
      </c>
      <c r="B15" s="1" t="s">
        <v>242</v>
      </c>
      <c r="C15" s="1" t="s">
        <v>85</v>
      </c>
      <c r="D15">
        <v>3</v>
      </c>
      <c r="E15">
        <v>2</v>
      </c>
      <c r="F15">
        <f>wc_all_matches[[#This Row],[score1]]+wc_all_matches[[#This Row],[score2]]</f>
        <v>5</v>
      </c>
      <c r="G15" s="1" t="s">
        <v>150</v>
      </c>
      <c r="H15" s="1" t="s">
        <v>384</v>
      </c>
      <c r="I15" s="1" t="s">
        <v>386</v>
      </c>
      <c r="J15" s="1" t="s">
        <v>321</v>
      </c>
      <c r="K15" s="2">
        <v>12577</v>
      </c>
      <c r="L15" s="1" t="s">
        <v>173</v>
      </c>
    </row>
    <row r="16" spans="1:12" x14ac:dyDescent="0.25">
      <c r="A16">
        <v>1934</v>
      </c>
      <c r="B16" s="1" t="s">
        <v>243</v>
      </c>
      <c r="C16" s="1" t="s">
        <v>321</v>
      </c>
      <c r="D16">
        <v>2</v>
      </c>
      <c r="E16">
        <v>1</v>
      </c>
      <c r="F16">
        <f>wc_all_matches[[#This Row],[score1]]+wc_all_matches[[#This Row],[score2]]</f>
        <v>3</v>
      </c>
      <c r="G16" s="1" t="s">
        <v>322</v>
      </c>
      <c r="H16" s="1" t="s">
        <v>379</v>
      </c>
      <c r="I16" s="1" t="s">
        <v>324</v>
      </c>
      <c r="J16" s="1" t="s">
        <v>321</v>
      </c>
      <c r="K16" s="2">
        <v>12580</v>
      </c>
      <c r="L16" s="1" t="s">
        <v>387</v>
      </c>
    </row>
    <row r="17" spans="1:12" x14ac:dyDescent="0.25">
      <c r="A17">
        <v>1938</v>
      </c>
      <c r="B17" s="1" t="s">
        <v>210</v>
      </c>
      <c r="C17" s="1" t="s">
        <v>55</v>
      </c>
      <c r="D17">
        <v>6</v>
      </c>
      <c r="E17">
        <v>5</v>
      </c>
      <c r="F17">
        <f>wc_all_matches[[#This Row],[score1]]+wc_all_matches[[#This Row],[score2]]</f>
        <v>11</v>
      </c>
      <c r="G17" s="1" t="s">
        <v>345</v>
      </c>
      <c r="H17" s="1" t="s">
        <v>388</v>
      </c>
      <c r="I17" s="1" t="s">
        <v>389</v>
      </c>
      <c r="J17" s="1" t="s">
        <v>134</v>
      </c>
      <c r="K17" s="2">
        <v>14036</v>
      </c>
      <c r="L17" s="1" t="s">
        <v>390</v>
      </c>
    </row>
    <row r="18" spans="1:12" x14ac:dyDescent="0.25">
      <c r="A18">
        <v>1938</v>
      </c>
      <c r="B18" s="1" t="s">
        <v>210</v>
      </c>
      <c r="C18" s="1" t="s">
        <v>321</v>
      </c>
      <c r="D18">
        <v>2</v>
      </c>
      <c r="E18">
        <v>1</v>
      </c>
      <c r="F18">
        <f>wc_all_matches[[#This Row],[score1]]+wc_all_matches[[#This Row],[score2]]</f>
        <v>3</v>
      </c>
      <c r="G18" s="1" t="s">
        <v>139</v>
      </c>
      <c r="H18" s="1" t="s">
        <v>391</v>
      </c>
      <c r="I18" s="1" t="s">
        <v>392</v>
      </c>
      <c r="J18" s="1" t="s">
        <v>134</v>
      </c>
      <c r="K18" s="2">
        <v>14036</v>
      </c>
      <c r="L18" s="1" t="s">
        <v>387</v>
      </c>
    </row>
    <row r="19" spans="1:12" x14ac:dyDescent="0.25">
      <c r="A19">
        <v>1938</v>
      </c>
      <c r="B19" s="1" t="s">
        <v>227</v>
      </c>
      <c r="C19" s="1" t="s">
        <v>55</v>
      </c>
      <c r="D19">
        <v>1</v>
      </c>
      <c r="E19">
        <v>1</v>
      </c>
      <c r="F19">
        <f>wc_all_matches[[#This Row],[score1]]+wc_all_matches[[#This Row],[score2]]</f>
        <v>2</v>
      </c>
      <c r="G19" s="1" t="s">
        <v>322</v>
      </c>
      <c r="H19" s="1" t="s">
        <v>388</v>
      </c>
      <c r="I19" s="1" t="s">
        <v>393</v>
      </c>
      <c r="J19" s="1" t="s">
        <v>134</v>
      </c>
      <c r="K19" s="2">
        <v>14043</v>
      </c>
      <c r="L19" s="1" t="s">
        <v>394</v>
      </c>
    </row>
    <row r="20" spans="1:12" x14ac:dyDescent="0.25">
      <c r="A20">
        <v>1938</v>
      </c>
      <c r="B20" s="1" t="s">
        <v>236</v>
      </c>
      <c r="C20" s="1" t="s">
        <v>321</v>
      </c>
      <c r="D20">
        <v>2</v>
      </c>
      <c r="E20">
        <v>1</v>
      </c>
      <c r="F20">
        <f>wc_all_matches[[#This Row],[score1]]+wc_all_matches[[#This Row],[score2]]</f>
        <v>3</v>
      </c>
      <c r="G20" s="1" t="s">
        <v>55</v>
      </c>
      <c r="H20" s="1" t="s">
        <v>395</v>
      </c>
      <c r="I20" s="1" t="s">
        <v>328</v>
      </c>
      <c r="J20" s="1" t="s">
        <v>134</v>
      </c>
      <c r="K20" s="2">
        <v>14047</v>
      </c>
      <c r="L20" s="1" t="s">
        <v>173</v>
      </c>
    </row>
    <row r="21" spans="1:12" x14ac:dyDescent="0.25">
      <c r="A21">
        <v>1938</v>
      </c>
      <c r="B21" s="1" t="s">
        <v>236</v>
      </c>
      <c r="C21" s="1" t="s">
        <v>326</v>
      </c>
      <c r="D21">
        <v>5</v>
      </c>
      <c r="E21">
        <v>1</v>
      </c>
      <c r="F21">
        <f>wc_all_matches[[#This Row],[score1]]+wc_all_matches[[#This Row],[score2]]</f>
        <v>6</v>
      </c>
      <c r="G21" s="1" t="s">
        <v>105</v>
      </c>
      <c r="H21" s="1" t="s">
        <v>396</v>
      </c>
      <c r="I21" s="1" t="s">
        <v>328</v>
      </c>
      <c r="J21" s="1" t="s">
        <v>134</v>
      </c>
      <c r="K21" s="2">
        <v>14047</v>
      </c>
      <c r="L21" s="1" t="s">
        <v>173</v>
      </c>
    </row>
    <row r="22" spans="1:12" x14ac:dyDescent="0.25">
      <c r="A22">
        <v>1938</v>
      </c>
      <c r="B22" s="1" t="s">
        <v>242</v>
      </c>
      <c r="C22" s="1" t="s">
        <v>55</v>
      </c>
      <c r="D22">
        <v>4</v>
      </c>
      <c r="E22">
        <v>2</v>
      </c>
      <c r="F22">
        <f>wc_all_matches[[#This Row],[score1]]+wc_all_matches[[#This Row],[score2]]</f>
        <v>6</v>
      </c>
      <c r="G22" s="1" t="s">
        <v>105</v>
      </c>
      <c r="H22" s="1" t="s">
        <v>397</v>
      </c>
      <c r="I22" s="1" t="s">
        <v>393</v>
      </c>
      <c r="J22" s="1" t="s">
        <v>134</v>
      </c>
      <c r="K22" s="2">
        <v>14050</v>
      </c>
      <c r="L22" s="1" t="s">
        <v>173</v>
      </c>
    </row>
    <row r="23" spans="1:12" x14ac:dyDescent="0.25">
      <c r="A23">
        <v>1938</v>
      </c>
      <c r="B23" s="1" t="s">
        <v>243</v>
      </c>
      <c r="C23" s="1" t="s">
        <v>321</v>
      </c>
      <c r="D23">
        <v>4</v>
      </c>
      <c r="E23">
        <v>2</v>
      </c>
      <c r="F23">
        <f>wc_all_matches[[#This Row],[score1]]+wc_all_matches[[#This Row],[score2]]</f>
        <v>6</v>
      </c>
      <c r="G23" s="1" t="s">
        <v>326</v>
      </c>
      <c r="H23" s="1" t="s">
        <v>395</v>
      </c>
      <c r="I23" s="1" t="s">
        <v>328</v>
      </c>
      <c r="J23" s="1" t="s">
        <v>134</v>
      </c>
      <c r="K23" s="2">
        <v>14050</v>
      </c>
      <c r="L23" s="1" t="s">
        <v>173</v>
      </c>
    </row>
    <row r="24" spans="1:12" x14ac:dyDescent="0.25">
      <c r="A24">
        <v>1950</v>
      </c>
      <c r="B24" s="1" t="s">
        <v>16</v>
      </c>
      <c r="C24" s="1" t="s">
        <v>55</v>
      </c>
      <c r="D24">
        <v>4</v>
      </c>
      <c r="E24">
        <v>0</v>
      </c>
      <c r="F24">
        <f>wc_all_matches[[#This Row],[score1]]+wc_all_matches[[#This Row],[score2]]</f>
        <v>4</v>
      </c>
      <c r="G24" s="1" t="s">
        <v>17</v>
      </c>
      <c r="H24" s="1" t="s">
        <v>398</v>
      </c>
      <c r="I24" s="1" t="s">
        <v>330</v>
      </c>
      <c r="J24" s="1" t="s">
        <v>55</v>
      </c>
      <c r="K24" s="2">
        <v>18438</v>
      </c>
      <c r="L24" s="1" t="s">
        <v>173</v>
      </c>
    </row>
    <row r="25" spans="1:12" x14ac:dyDescent="0.25">
      <c r="A25">
        <v>1950</v>
      </c>
      <c r="B25" s="1" t="s">
        <v>16</v>
      </c>
      <c r="C25" s="1" t="s">
        <v>165</v>
      </c>
      <c r="D25">
        <v>0</v>
      </c>
      <c r="E25">
        <v>1</v>
      </c>
      <c r="F25">
        <f>wc_all_matches[[#This Row],[score1]]+wc_all_matches[[#This Row],[score2]]</f>
        <v>1</v>
      </c>
      <c r="G25" s="1" t="s">
        <v>49</v>
      </c>
      <c r="H25" s="1" t="s">
        <v>399</v>
      </c>
      <c r="I25" s="1" t="s">
        <v>400</v>
      </c>
      <c r="J25" s="1" t="s">
        <v>55</v>
      </c>
      <c r="K25" s="2">
        <v>18443</v>
      </c>
      <c r="L25" s="1" t="s">
        <v>401</v>
      </c>
    </row>
    <row r="26" spans="1:12" x14ac:dyDescent="0.25">
      <c r="A26">
        <v>1950</v>
      </c>
      <c r="B26" s="1" t="s">
        <v>402</v>
      </c>
      <c r="C26" s="1" t="s">
        <v>55</v>
      </c>
      <c r="D26">
        <v>7</v>
      </c>
      <c r="E26">
        <v>1</v>
      </c>
      <c r="F26">
        <f>wc_all_matches[[#This Row],[score1]]+wc_all_matches[[#This Row],[score2]]</f>
        <v>8</v>
      </c>
      <c r="G26" s="1" t="s">
        <v>105</v>
      </c>
      <c r="H26" s="1" t="s">
        <v>398</v>
      </c>
      <c r="I26" s="1" t="s">
        <v>330</v>
      </c>
      <c r="J26" s="1" t="s">
        <v>55</v>
      </c>
      <c r="K26" s="2">
        <v>18453</v>
      </c>
      <c r="L26" s="1" t="s">
        <v>173</v>
      </c>
    </row>
    <row r="27" spans="1:12" x14ac:dyDescent="0.25">
      <c r="A27">
        <v>1950</v>
      </c>
      <c r="B27" s="1" t="s">
        <v>402</v>
      </c>
      <c r="C27" s="1" t="s">
        <v>128</v>
      </c>
      <c r="D27">
        <v>3</v>
      </c>
      <c r="E27">
        <v>2</v>
      </c>
      <c r="F27">
        <f>wc_all_matches[[#This Row],[score1]]+wc_all_matches[[#This Row],[score2]]</f>
        <v>5</v>
      </c>
      <c r="G27" s="1" t="s">
        <v>105</v>
      </c>
      <c r="H27" s="1" t="s">
        <v>398</v>
      </c>
      <c r="I27" s="1" t="s">
        <v>403</v>
      </c>
      <c r="J27" s="1" t="s">
        <v>55</v>
      </c>
      <c r="K27" s="2">
        <v>18453</v>
      </c>
      <c r="L27" s="1" t="s">
        <v>173</v>
      </c>
    </row>
    <row r="28" spans="1:12" x14ac:dyDescent="0.25">
      <c r="A28">
        <v>1950</v>
      </c>
      <c r="B28" s="1" t="s">
        <v>402</v>
      </c>
      <c r="C28" s="1" t="s">
        <v>128</v>
      </c>
      <c r="D28">
        <v>2</v>
      </c>
      <c r="E28">
        <v>1</v>
      </c>
      <c r="F28">
        <f>wc_all_matches[[#This Row],[score1]]+wc_all_matches[[#This Row],[score2]]</f>
        <v>3</v>
      </c>
      <c r="G28" s="1" t="s">
        <v>55</v>
      </c>
      <c r="H28" s="1" t="s">
        <v>398</v>
      </c>
      <c r="I28" s="1" t="s">
        <v>330</v>
      </c>
      <c r="J28" s="1" t="s">
        <v>55</v>
      </c>
      <c r="K28" s="2">
        <v>18460</v>
      </c>
      <c r="L28" s="1" t="s">
        <v>404</v>
      </c>
    </row>
    <row r="29" spans="1:12" x14ac:dyDescent="0.25">
      <c r="A29">
        <v>1954</v>
      </c>
      <c r="B29" s="1" t="s">
        <v>16</v>
      </c>
      <c r="C29" s="1" t="s">
        <v>326</v>
      </c>
      <c r="D29">
        <v>9</v>
      </c>
      <c r="E29">
        <v>0</v>
      </c>
      <c r="F29">
        <f>wc_all_matches[[#This Row],[score1]]+wc_all_matches[[#This Row],[score2]]</f>
        <v>9</v>
      </c>
      <c r="G29" s="1" t="s">
        <v>26</v>
      </c>
      <c r="H29" s="1" t="s">
        <v>405</v>
      </c>
      <c r="I29" s="1" t="s">
        <v>406</v>
      </c>
      <c r="J29" s="1" t="s">
        <v>46</v>
      </c>
      <c r="K29" s="2">
        <v>19892</v>
      </c>
      <c r="L29" s="1" t="s">
        <v>173</v>
      </c>
    </row>
    <row r="30" spans="1:12" x14ac:dyDescent="0.25">
      <c r="A30">
        <v>1954</v>
      </c>
      <c r="B30" s="1" t="s">
        <v>16</v>
      </c>
      <c r="C30" s="1" t="s">
        <v>332</v>
      </c>
      <c r="D30">
        <v>3</v>
      </c>
      <c r="E30">
        <v>8</v>
      </c>
      <c r="F30">
        <f>wc_all_matches[[#This Row],[score1]]+wc_all_matches[[#This Row],[score2]]</f>
        <v>11</v>
      </c>
      <c r="G30" s="1" t="s">
        <v>326</v>
      </c>
      <c r="H30" s="1" t="s">
        <v>407</v>
      </c>
      <c r="I30" s="1" t="s">
        <v>334</v>
      </c>
      <c r="J30" s="1" t="s">
        <v>46</v>
      </c>
      <c r="K30" s="2">
        <v>19895</v>
      </c>
      <c r="L30" s="1" t="s">
        <v>173</v>
      </c>
    </row>
    <row r="31" spans="1:12" x14ac:dyDescent="0.25">
      <c r="A31">
        <v>1954</v>
      </c>
      <c r="B31" s="1" t="s">
        <v>227</v>
      </c>
      <c r="C31" s="1" t="s">
        <v>150</v>
      </c>
      <c r="D31">
        <v>7</v>
      </c>
      <c r="E31">
        <v>5</v>
      </c>
      <c r="F31">
        <f>wc_all_matches[[#This Row],[score1]]+wc_all_matches[[#This Row],[score2]]</f>
        <v>12</v>
      </c>
      <c r="G31" s="1" t="s">
        <v>46</v>
      </c>
      <c r="H31" s="1" t="s">
        <v>405</v>
      </c>
      <c r="I31" s="1" t="s">
        <v>408</v>
      </c>
      <c r="J31" s="1" t="s">
        <v>46</v>
      </c>
      <c r="K31" s="2">
        <v>19901</v>
      </c>
      <c r="L31" s="1" t="s">
        <v>409</v>
      </c>
    </row>
    <row r="32" spans="1:12" x14ac:dyDescent="0.25">
      <c r="A32">
        <v>1954</v>
      </c>
      <c r="B32" s="1" t="s">
        <v>236</v>
      </c>
      <c r="C32" s="1" t="s">
        <v>332</v>
      </c>
      <c r="D32">
        <v>6</v>
      </c>
      <c r="E32">
        <v>1</v>
      </c>
      <c r="F32">
        <f>wc_all_matches[[#This Row],[score1]]+wc_all_matches[[#This Row],[score2]]</f>
        <v>7</v>
      </c>
      <c r="G32" s="1" t="s">
        <v>150</v>
      </c>
      <c r="H32" s="1" t="s">
        <v>407</v>
      </c>
      <c r="I32" s="1" t="s">
        <v>410</v>
      </c>
      <c r="J32" s="1" t="s">
        <v>46</v>
      </c>
      <c r="K32" s="2">
        <v>19905</v>
      </c>
      <c r="L32" s="1" t="s">
        <v>173</v>
      </c>
    </row>
    <row r="33" spans="1:12" x14ac:dyDescent="0.25">
      <c r="A33">
        <v>1954</v>
      </c>
      <c r="B33" s="1" t="s">
        <v>236</v>
      </c>
      <c r="C33" s="1" t="s">
        <v>326</v>
      </c>
      <c r="D33">
        <v>4</v>
      </c>
      <c r="E33">
        <v>2</v>
      </c>
      <c r="F33">
        <f>wc_all_matches[[#This Row],[score1]]+wc_all_matches[[#This Row],[score2]]</f>
        <v>6</v>
      </c>
      <c r="G33" s="1" t="s">
        <v>128</v>
      </c>
      <c r="H33" s="1" t="s">
        <v>396</v>
      </c>
      <c r="I33" s="1" t="s">
        <v>408</v>
      </c>
      <c r="J33" s="1" t="s">
        <v>46</v>
      </c>
      <c r="K33" s="2">
        <v>19905</v>
      </c>
      <c r="L33" s="1" t="s">
        <v>173</v>
      </c>
    </row>
    <row r="34" spans="1:12" x14ac:dyDescent="0.25">
      <c r="A34">
        <v>1954</v>
      </c>
      <c r="B34" s="1" t="s">
        <v>242</v>
      </c>
      <c r="C34" s="1" t="s">
        <v>150</v>
      </c>
      <c r="D34">
        <v>3</v>
      </c>
      <c r="E34">
        <v>1</v>
      </c>
      <c r="F34">
        <f>wc_all_matches[[#This Row],[score1]]+wc_all_matches[[#This Row],[score2]]</f>
        <v>4</v>
      </c>
      <c r="G34" s="1" t="s">
        <v>128</v>
      </c>
      <c r="H34" s="1" t="s">
        <v>405</v>
      </c>
      <c r="I34" s="1" t="s">
        <v>406</v>
      </c>
      <c r="J34" s="1" t="s">
        <v>46</v>
      </c>
      <c r="K34" s="2">
        <v>19908</v>
      </c>
      <c r="L34" s="1" t="s">
        <v>173</v>
      </c>
    </row>
    <row r="35" spans="1:12" x14ac:dyDescent="0.25">
      <c r="A35">
        <v>1954</v>
      </c>
      <c r="B35" s="1" t="s">
        <v>243</v>
      </c>
      <c r="C35" s="1" t="s">
        <v>332</v>
      </c>
      <c r="D35">
        <v>3</v>
      </c>
      <c r="E35">
        <v>2</v>
      </c>
      <c r="F35">
        <f>wc_all_matches[[#This Row],[score1]]+wc_all_matches[[#This Row],[score2]]</f>
        <v>5</v>
      </c>
      <c r="G35" s="1" t="s">
        <v>326</v>
      </c>
      <c r="H35" s="1" t="s">
        <v>407</v>
      </c>
      <c r="I35" s="1" t="s">
        <v>334</v>
      </c>
      <c r="J35" s="1" t="s">
        <v>46</v>
      </c>
      <c r="K35" s="2">
        <v>19909</v>
      </c>
      <c r="L35" s="1" t="s">
        <v>411</v>
      </c>
    </row>
    <row r="36" spans="1:12" x14ac:dyDescent="0.25">
      <c r="A36">
        <v>1958</v>
      </c>
      <c r="B36" s="1" t="s">
        <v>16</v>
      </c>
      <c r="C36" s="1" t="s">
        <v>55</v>
      </c>
      <c r="D36">
        <v>3</v>
      </c>
      <c r="E36">
        <v>0</v>
      </c>
      <c r="F36">
        <f>wc_all_matches[[#This Row],[score1]]+wc_all_matches[[#This Row],[score2]]</f>
        <v>3</v>
      </c>
      <c r="G36" s="1" t="s">
        <v>150</v>
      </c>
      <c r="H36" s="1" t="s">
        <v>412</v>
      </c>
      <c r="I36" s="1" t="s">
        <v>413</v>
      </c>
      <c r="J36" s="1" t="s">
        <v>105</v>
      </c>
      <c r="K36" s="2">
        <v>21344</v>
      </c>
      <c r="L36" s="1" t="s">
        <v>173</v>
      </c>
    </row>
    <row r="37" spans="1:12" x14ac:dyDescent="0.25">
      <c r="A37">
        <v>1958</v>
      </c>
      <c r="B37" s="1" t="s">
        <v>16</v>
      </c>
      <c r="C37" s="1" t="s">
        <v>134</v>
      </c>
      <c r="D37">
        <v>7</v>
      </c>
      <c r="E37">
        <v>3</v>
      </c>
      <c r="F37">
        <f>wc_all_matches[[#This Row],[score1]]+wc_all_matches[[#This Row],[score2]]</f>
        <v>10</v>
      </c>
      <c r="G37" s="1" t="s">
        <v>69</v>
      </c>
      <c r="H37" s="1" t="s">
        <v>414</v>
      </c>
      <c r="I37" s="1" t="s">
        <v>415</v>
      </c>
      <c r="J37" s="1" t="s">
        <v>105</v>
      </c>
      <c r="K37" s="2">
        <v>21344</v>
      </c>
      <c r="L37" s="1" t="s">
        <v>416</v>
      </c>
    </row>
    <row r="38" spans="1:12" x14ac:dyDescent="0.25">
      <c r="A38">
        <v>1958</v>
      </c>
      <c r="B38" s="1" t="s">
        <v>227</v>
      </c>
      <c r="C38" s="1" t="s">
        <v>134</v>
      </c>
      <c r="D38">
        <v>4</v>
      </c>
      <c r="E38">
        <v>0</v>
      </c>
      <c r="F38">
        <f>wc_all_matches[[#This Row],[score1]]+wc_all_matches[[#This Row],[score2]]</f>
        <v>4</v>
      </c>
      <c r="G38" s="1" t="s">
        <v>417</v>
      </c>
      <c r="H38" s="1" t="s">
        <v>418</v>
      </c>
      <c r="I38" s="1" t="s">
        <v>419</v>
      </c>
      <c r="J38" s="1" t="s">
        <v>105</v>
      </c>
      <c r="K38" s="2">
        <v>21355</v>
      </c>
      <c r="L38" s="1" t="s">
        <v>173</v>
      </c>
    </row>
    <row r="39" spans="1:12" x14ac:dyDescent="0.25">
      <c r="A39">
        <v>1958</v>
      </c>
      <c r="B39" s="1" t="s">
        <v>236</v>
      </c>
      <c r="C39" s="1" t="s">
        <v>55</v>
      </c>
      <c r="D39">
        <v>5</v>
      </c>
      <c r="E39">
        <v>2</v>
      </c>
      <c r="F39">
        <f>wc_all_matches[[#This Row],[score1]]+wc_all_matches[[#This Row],[score2]]</f>
        <v>7</v>
      </c>
      <c r="G39" s="1" t="s">
        <v>134</v>
      </c>
      <c r="H39" s="1" t="s">
        <v>418</v>
      </c>
      <c r="I39" s="1" t="s">
        <v>419</v>
      </c>
      <c r="J39" s="1" t="s">
        <v>105</v>
      </c>
      <c r="K39" s="2">
        <v>21360</v>
      </c>
      <c r="L39" s="1" t="s">
        <v>173</v>
      </c>
    </row>
    <row r="40" spans="1:12" x14ac:dyDescent="0.25">
      <c r="A40">
        <v>1958</v>
      </c>
      <c r="B40" s="1" t="s">
        <v>236</v>
      </c>
      <c r="C40" s="1" t="s">
        <v>105</v>
      </c>
      <c r="D40">
        <v>3</v>
      </c>
      <c r="E40">
        <v>1</v>
      </c>
      <c r="F40">
        <f>wc_all_matches[[#This Row],[score1]]+wc_all_matches[[#This Row],[score2]]</f>
        <v>4</v>
      </c>
      <c r="G40" s="1" t="s">
        <v>332</v>
      </c>
      <c r="H40" s="1" t="s">
        <v>418</v>
      </c>
      <c r="I40" s="1" t="s">
        <v>419</v>
      </c>
      <c r="J40" s="1" t="s">
        <v>105</v>
      </c>
      <c r="K40" s="2">
        <v>21360</v>
      </c>
      <c r="L40" s="1" t="s">
        <v>173</v>
      </c>
    </row>
    <row r="41" spans="1:12" x14ac:dyDescent="0.25">
      <c r="A41">
        <v>1958</v>
      </c>
      <c r="B41" s="1" t="s">
        <v>242</v>
      </c>
      <c r="C41" s="1" t="s">
        <v>134</v>
      </c>
      <c r="D41">
        <v>6</v>
      </c>
      <c r="E41">
        <v>3</v>
      </c>
      <c r="F41">
        <f>wc_all_matches[[#This Row],[score1]]+wc_all_matches[[#This Row],[score2]]</f>
        <v>9</v>
      </c>
      <c r="G41" s="1" t="s">
        <v>332</v>
      </c>
      <c r="H41" s="1" t="s">
        <v>418</v>
      </c>
      <c r="I41" s="1" t="s">
        <v>419</v>
      </c>
      <c r="J41" s="1" t="s">
        <v>105</v>
      </c>
      <c r="K41" s="2">
        <v>21364</v>
      </c>
      <c r="L41" s="1" t="s">
        <v>420</v>
      </c>
    </row>
    <row r="42" spans="1:12" x14ac:dyDescent="0.25">
      <c r="A42">
        <v>1958</v>
      </c>
      <c r="B42" s="1" t="s">
        <v>243</v>
      </c>
      <c r="C42" s="1" t="s">
        <v>55</v>
      </c>
      <c r="D42">
        <v>5</v>
      </c>
      <c r="E42">
        <v>2</v>
      </c>
      <c r="F42">
        <f>wc_all_matches[[#This Row],[score1]]+wc_all_matches[[#This Row],[score2]]</f>
        <v>7</v>
      </c>
      <c r="G42" s="1" t="s">
        <v>105</v>
      </c>
      <c r="H42" s="1" t="s">
        <v>421</v>
      </c>
      <c r="I42" s="1" t="s">
        <v>336</v>
      </c>
      <c r="J42" s="1" t="s">
        <v>105</v>
      </c>
      <c r="K42" s="2">
        <v>21365</v>
      </c>
      <c r="L42" s="1" t="s">
        <v>422</v>
      </c>
    </row>
    <row r="43" spans="1:12" x14ac:dyDescent="0.25">
      <c r="A43">
        <v>1962</v>
      </c>
      <c r="B43" s="1" t="s">
        <v>16</v>
      </c>
      <c r="C43" s="1" t="s">
        <v>341</v>
      </c>
      <c r="D43">
        <v>2</v>
      </c>
      <c r="E43">
        <v>0</v>
      </c>
      <c r="F43">
        <f>wc_all_matches[[#This Row],[score1]]+wc_all_matches[[#This Row],[score2]]</f>
        <v>2</v>
      </c>
      <c r="G43" s="1" t="s">
        <v>317</v>
      </c>
      <c r="H43" s="1" t="s">
        <v>423</v>
      </c>
      <c r="I43" s="1" t="s">
        <v>424</v>
      </c>
      <c r="J43" s="1" t="s">
        <v>337</v>
      </c>
      <c r="K43" s="2">
        <v>22797</v>
      </c>
      <c r="L43" s="1" t="s">
        <v>173</v>
      </c>
    </row>
    <row r="44" spans="1:12" x14ac:dyDescent="0.25">
      <c r="A44">
        <v>1962</v>
      </c>
      <c r="B44" s="1" t="s">
        <v>16</v>
      </c>
      <c r="C44" s="1" t="s">
        <v>321</v>
      </c>
      <c r="D44">
        <v>0</v>
      </c>
      <c r="E44">
        <v>0</v>
      </c>
      <c r="F44">
        <f>wc_all_matches[[#This Row],[score1]]+wc_all_matches[[#This Row],[score2]]</f>
        <v>0</v>
      </c>
      <c r="G44" s="1" t="s">
        <v>337</v>
      </c>
      <c r="H44" s="1" t="s">
        <v>425</v>
      </c>
      <c r="I44" s="1" t="s">
        <v>340</v>
      </c>
      <c r="J44" s="1" t="s">
        <v>337</v>
      </c>
      <c r="K44" s="2">
        <v>22799</v>
      </c>
      <c r="L44" s="1" t="s">
        <v>426</v>
      </c>
    </row>
    <row r="45" spans="1:12" x14ac:dyDescent="0.25">
      <c r="A45">
        <v>1962</v>
      </c>
      <c r="B45" s="1" t="s">
        <v>227</v>
      </c>
      <c r="C45" s="1" t="s">
        <v>55</v>
      </c>
      <c r="D45">
        <v>3</v>
      </c>
      <c r="E45">
        <v>1</v>
      </c>
      <c r="F45">
        <f>wc_all_matches[[#This Row],[score1]]+wc_all_matches[[#This Row],[score2]]</f>
        <v>4</v>
      </c>
      <c r="G45" s="1" t="s">
        <v>165</v>
      </c>
      <c r="H45" s="1" t="s">
        <v>427</v>
      </c>
      <c r="I45" s="1" t="s">
        <v>428</v>
      </c>
      <c r="J45" s="1" t="s">
        <v>337</v>
      </c>
      <c r="K45" s="2">
        <v>22807</v>
      </c>
      <c r="L45" s="1" t="s">
        <v>173</v>
      </c>
    </row>
    <row r="46" spans="1:12" x14ac:dyDescent="0.25">
      <c r="A46">
        <v>1962</v>
      </c>
      <c r="B46" s="1" t="s">
        <v>236</v>
      </c>
      <c r="C46" s="1" t="s">
        <v>55</v>
      </c>
      <c r="D46">
        <v>4</v>
      </c>
      <c r="E46">
        <v>2</v>
      </c>
      <c r="F46">
        <f>wc_all_matches[[#This Row],[score1]]+wc_all_matches[[#This Row],[score2]]</f>
        <v>6</v>
      </c>
      <c r="G46" s="1" t="s">
        <v>337</v>
      </c>
      <c r="H46" s="1" t="s">
        <v>425</v>
      </c>
      <c r="I46" s="1" t="s">
        <v>340</v>
      </c>
      <c r="J46" s="1" t="s">
        <v>337</v>
      </c>
      <c r="K46" s="2">
        <v>22810</v>
      </c>
      <c r="L46" s="1" t="s">
        <v>173</v>
      </c>
    </row>
    <row r="47" spans="1:12" x14ac:dyDescent="0.25">
      <c r="A47">
        <v>1962</v>
      </c>
      <c r="B47" s="1" t="s">
        <v>236</v>
      </c>
      <c r="C47" s="1" t="s">
        <v>322</v>
      </c>
      <c r="D47">
        <v>3</v>
      </c>
      <c r="E47">
        <v>1</v>
      </c>
      <c r="F47">
        <f>wc_all_matches[[#This Row],[score1]]+wc_all_matches[[#This Row],[score2]]</f>
        <v>4</v>
      </c>
      <c r="G47" s="1" t="s">
        <v>317</v>
      </c>
      <c r="H47" s="1" t="s">
        <v>423</v>
      </c>
      <c r="I47" s="1" t="s">
        <v>429</v>
      </c>
      <c r="J47" s="1" t="s">
        <v>337</v>
      </c>
      <c r="K47" s="2">
        <v>22810</v>
      </c>
      <c r="L47" s="1" t="s">
        <v>173</v>
      </c>
    </row>
    <row r="48" spans="1:12" x14ac:dyDescent="0.25">
      <c r="A48">
        <v>1962</v>
      </c>
      <c r="B48" s="1" t="s">
        <v>242</v>
      </c>
      <c r="C48" s="1" t="s">
        <v>337</v>
      </c>
      <c r="D48">
        <v>1</v>
      </c>
      <c r="E48">
        <v>0</v>
      </c>
      <c r="F48">
        <f>wc_all_matches[[#This Row],[score1]]+wc_all_matches[[#This Row],[score2]]</f>
        <v>1</v>
      </c>
      <c r="G48" s="1" t="s">
        <v>317</v>
      </c>
      <c r="H48" s="1" t="s">
        <v>425</v>
      </c>
      <c r="I48" s="1" t="s">
        <v>340</v>
      </c>
      <c r="J48" s="1" t="s">
        <v>337</v>
      </c>
      <c r="K48" s="2">
        <v>22813</v>
      </c>
      <c r="L48" s="1" t="s">
        <v>173</v>
      </c>
    </row>
    <row r="49" spans="1:12" x14ac:dyDescent="0.25">
      <c r="A49">
        <v>1962</v>
      </c>
      <c r="B49" s="1" t="s">
        <v>243</v>
      </c>
      <c r="C49" s="1" t="s">
        <v>55</v>
      </c>
      <c r="D49">
        <v>3</v>
      </c>
      <c r="E49">
        <v>1</v>
      </c>
      <c r="F49">
        <f>wc_all_matches[[#This Row],[score1]]+wc_all_matches[[#This Row],[score2]]</f>
        <v>4</v>
      </c>
      <c r="G49" s="1" t="s">
        <v>322</v>
      </c>
      <c r="H49" s="1" t="s">
        <v>425</v>
      </c>
      <c r="I49" s="1" t="s">
        <v>340</v>
      </c>
      <c r="J49" s="1" t="s">
        <v>337</v>
      </c>
      <c r="K49" s="2">
        <v>22814</v>
      </c>
      <c r="L49" s="1" t="s">
        <v>173</v>
      </c>
    </row>
    <row r="50" spans="1:12" x14ac:dyDescent="0.25">
      <c r="A50">
        <v>1966</v>
      </c>
      <c r="B50" s="1" t="s">
        <v>16</v>
      </c>
      <c r="C50" s="1" t="s">
        <v>165</v>
      </c>
      <c r="D50">
        <v>0</v>
      </c>
      <c r="E50">
        <v>0</v>
      </c>
      <c r="F50">
        <f>wc_all_matches[[#This Row],[score1]]+wc_all_matches[[#This Row],[score2]]</f>
        <v>0</v>
      </c>
      <c r="G50" s="1" t="s">
        <v>128</v>
      </c>
      <c r="H50" s="1" t="s">
        <v>430</v>
      </c>
      <c r="I50" s="1" t="s">
        <v>343</v>
      </c>
      <c r="J50" s="1" t="s">
        <v>165</v>
      </c>
      <c r="K50" s="2">
        <v>24299</v>
      </c>
      <c r="L50" s="1" t="s">
        <v>173</v>
      </c>
    </row>
    <row r="51" spans="1:12" x14ac:dyDescent="0.25">
      <c r="A51">
        <v>1966</v>
      </c>
      <c r="B51" s="1" t="s">
        <v>16</v>
      </c>
      <c r="C51" s="1" t="s">
        <v>431</v>
      </c>
      <c r="D51">
        <v>1</v>
      </c>
      <c r="E51">
        <v>0</v>
      </c>
      <c r="F51">
        <f>wc_all_matches[[#This Row],[score1]]+wc_all_matches[[#This Row],[score2]]</f>
        <v>1</v>
      </c>
      <c r="G51" s="1" t="s">
        <v>321</v>
      </c>
      <c r="H51" s="1" t="s">
        <v>432</v>
      </c>
      <c r="I51" s="1" t="s">
        <v>433</v>
      </c>
      <c r="J51" s="1" t="s">
        <v>165</v>
      </c>
      <c r="K51" s="2">
        <v>24307</v>
      </c>
      <c r="L51" s="1" t="s">
        <v>434</v>
      </c>
    </row>
    <row r="52" spans="1:12" x14ac:dyDescent="0.25">
      <c r="A52">
        <v>1966</v>
      </c>
      <c r="B52" s="1" t="s">
        <v>227</v>
      </c>
      <c r="C52" s="1" t="s">
        <v>431</v>
      </c>
      <c r="D52">
        <v>3</v>
      </c>
      <c r="E52">
        <v>5</v>
      </c>
      <c r="F52">
        <f>wc_all_matches[[#This Row],[score1]]+wc_all_matches[[#This Row],[score2]]</f>
        <v>8</v>
      </c>
      <c r="G52" s="1" t="s">
        <v>156</v>
      </c>
      <c r="H52" s="1" t="s">
        <v>435</v>
      </c>
      <c r="I52" s="1" t="s">
        <v>436</v>
      </c>
      <c r="J52" s="1" t="s">
        <v>165</v>
      </c>
      <c r="K52" s="2">
        <v>24311</v>
      </c>
      <c r="L52" s="1" t="s">
        <v>437</v>
      </c>
    </row>
    <row r="53" spans="1:12" x14ac:dyDescent="0.25">
      <c r="A53">
        <v>1966</v>
      </c>
      <c r="B53" s="1" t="s">
        <v>227</v>
      </c>
      <c r="C53" s="1" t="s">
        <v>165</v>
      </c>
      <c r="D53">
        <v>1</v>
      </c>
      <c r="E53">
        <v>0</v>
      </c>
      <c r="F53">
        <f>wc_all_matches[[#This Row],[score1]]+wc_all_matches[[#This Row],[score2]]</f>
        <v>1</v>
      </c>
      <c r="G53" s="1" t="s">
        <v>144</v>
      </c>
      <c r="H53" s="1" t="s">
        <v>430</v>
      </c>
      <c r="I53" s="1" t="s">
        <v>343</v>
      </c>
      <c r="J53" s="1" t="s">
        <v>165</v>
      </c>
      <c r="K53" s="2">
        <v>24311</v>
      </c>
      <c r="L53" s="1" t="s">
        <v>173</v>
      </c>
    </row>
    <row r="54" spans="1:12" x14ac:dyDescent="0.25">
      <c r="A54">
        <v>1966</v>
      </c>
      <c r="B54" s="1" t="s">
        <v>236</v>
      </c>
      <c r="C54" s="1" t="s">
        <v>165</v>
      </c>
      <c r="D54">
        <v>2</v>
      </c>
      <c r="E54">
        <v>1</v>
      </c>
      <c r="F54">
        <f>wc_all_matches[[#This Row],[score1]]+wc_all_matches[[#This Row],[score2]]</f>
        <v>3</v>
      </c>
      <c r="G54" s="1" t="s">
        <v>156</v>
      </c>
      <c r="H54" s="1" t="s">
        <v>430</v>
      </c>
      <c r="I54" s="1" t="s">
        <v>343</v>
      </c>
      <c r="J54" s="1" t="s">
        <v>165</v>
      </c>
      <c r="K54" s="2">
        <v>24314</v>
      </c>
      <c r="L54" s="1" t="s">
        <v>173</v>
      </c>
    </row>
    <row r="55" spans="1:12" x14ac:dyDescent="0.25">
      <c r="A55">
        <v>1966</v>
      </c>
      <c r="B55" s="1" t="s">
        <v>236</v>
      </c>
      <c r="C55" s="1" t="s">
        <v>332</v>
      </c>
      <c r="D55">
        <v>2</v>
      </c>
      <c r="E55">
        <v>1</v>
      </c>
      <c r="F55">
        <f>wc_all_matches[[#This Row],[score1]]+wc_all_matches[[#This Row],[score2]]</f>
        <v>3</v>
      </c>
      <c r="G55" s="1" t="s">
        <v>341</v>
      </c>
      <c r="H55" s="1" t="s">
        <v>435</v>
      </c>
      <c r="I55" s="1" t="s">
        <v>436</v>
      </c>
      <c r="J55" s="1" t="s">
        <v>165</v>
      </c>
      <c r="K55" s="2">
        <v>24313</v>
      </c>
      <c r="L55" s="1" t="s">
        <v>173</v>
      </c>
    </row>
    <row r="56" spans="1:12" x14ac:dyDescent="0.25">
      <c r="A56">
        <v>1966</v>
      </c>
      <c r="B56" s="1" t="s">
        <v>242</v>
      </c>
      <c r="C56" s="1" t="s">
        <v>156</v>
      </c>
      <c r="D56">
        <v>2</v>
      </c>
      <c r="E56">
        <v>1</v>
      </c>
      <c r="F56">
        <f>wc_all_matches[[#This Row],[score1]]+wc_all_matches[[#This Row],[score2]]</f>
        <v>3</v>
      </c>
      <c r="G56" s="1" t="s">
        <v>341</v>
      </c>
      <c r="H56" s="1" t="s">
        <v>430</v>
      </c>
      <c r="I56" s="1" t="s">
        <v>343</v>
      </c>
      <c r="J56" s="1" t="s">
        <v>165</v>
      </c>
      <c r="K56" s="2">
        <v>24316</v>
      </c>
      <c r="L56" s="1" t="s">
        <v>173</v>
      </c>
    </row>
    <row r="57" spans="1:12" x14ac:dyDescent="0.25">
      <c r="A57">
        <v>1966</v>
      </c>
      <c r="B57" s="1" t="s">
        <v>243</v>
      </c>
      <c r="C57" s="1" t="s">
        <v>165</v>
      </c>
      <c r="D57">
        <v>4</v>
      </c>
      <c r="E57">
        <v>2</v>
      </c>
      <c r="F57">
        <f>wc_all_matches[[#This Row],[score1]]+wc_all_matches[[#This Row],[score2]]</f>
        <v>6</v>
      </c>
      <c r="G57" s="1" t="s">
        <v>332</v>
      </c>
      <c r="H57" s="1" t="s">
        <v>430</v>
      </c>
      <c r="I57" s="1" t="s">
        <v>343</v>
      </c>
      <c r="J57" s="1" t="s">
        <v>165</v>
      </c>
      <c r="K57" s="2">
        <v>24318</v>
      </c>
      <c r="L57" s="1" t="s">
        <v>438</v>
      </c>
    </row>
    <row r="58" spans="1:12" x14ac:dyDescent="0.25">
      <c r="A58">
        <v>1970</v>
      </c>
      <c r="B58" s="1" t="s">
        <v>16</v>
      </c>
      <c r="C58" s="1" t="s">
        <v>55</v>
      </c>
      <c r="D58">
        <v>4</v>
      </c>
      <c r="E58">
        <v>1</v>
      </c>
      <c r="F58">
        <f>wc_all_matches[[#This Row],[score1]]+wc_all_matches[[#This Row],[score2]]</f>
        <v>5</v>
      </c>
      <c r="G58" s="1" t="s">
        <v>322</v>
      </c>
      <c r="H58" s="1" t="s">
        <v>439</v>
      </c>
      <c r="I58" s="1" t="s">
        <v>29</v>
      </c>
      <c r="J58" s="1" t="s">
        <v>17</v>
      </c>
      <c r="K58" s="2">
        <v>25722</v>
      </c>
      <c r="L58" s="1" t="s">
        <v>173</v>
      </c>
    </row>
    <row r="59" spans="1:12" x14ac:dyDescent="0.25">
      <c r="A59">
        <v>1970</v>
      </c>
      <c r="B59" s="1" t="s">
        <v>16</v>
      </c>
      <c r="C59" s="1" t="s">
        <v>332</v>
      </c>
      <c r="D59">
        <v>3</v>
      </c>
      <c r="E59">
        <v>10</v>
      </c>
      <c r="F59">
        <f>wc_all_matches[[#This Row],[score1]]+wc_all_matches[[#This Row],[score2]]</f>
        <v>13</v>
      </c>
      <c r="G59" s="1" t="s">
        <v>354</v>
      </c>
      <c r="H59" s="1" t="s">
        <v>440</v>
      </c>
      <c r="I59" s="1" t="s">
        <v>441</v>
      </c>
      <c r="J59" s="1" t="s">
        <v>17</v>
      </c>
      <c r="K59" s="2">
        <v>25721</v>
      </c>
      <c r="L59" s="1" t="s">
        <v>173</v>
      </c>
    </row>
    <row r="60" spans="1:12" x14ac:dyDescent="0.25">
      <c r="A60">
        <v>1970</v>
      </c>
      <c r="B60" s="1" t="s">
        <v>227</v>
      </c>
      <c r="C60" s="1" t="s">
        <v>55</v>
      </c>
      <c r="D60">
        <v>4</v>
      </c>
      <c r="E60">
        <v>2</v>
      </c>
      <c r="F60">
        <f>wc_all_matches[[#This Row],[score1]]+wc_all_matches[[#This Row],[score2]]</f>
        <v>6</v>
      </c>
      <c r="G60" s="1" t="s">
        <v>377</v>
      </c>
      <c r="H60" s="1" t="s">
        <v>439</v>
      </c>
      <c r="I60" s="1" t="s">
        <v>29</v>
      </c>
      <c r="J60" s="1" t="s">
        <v>17</v>
      </c>
      <c r="K60" s="2">
        <v>25733</v>
      </c>
      <c r="L60" s="1" t="s">
        <v>173</v>
      </c>
    </row>
    <row r="61" spans="1:12" x14ac:dyDescent="0.25">
      <c r="A61">
        <v>1970</v>
      </c>
      <c r="B61" s="1" t="s">
        <v>227</v>
      </c>
      <c r="C61" s="1" t="s">
        <v>332</v>
      </c>
      <c r="D61">
        <v>3</v>
      </c>
      <c r="E61">
        <v>2</v>
      </c>
      <c r="F61">
        <f>wc_all_matches[[#This Row],[score1]]+wc_all_matches[[#This Row],[score2]]</f>
        <v>5</v>
      </c>
      <c r="G61" s="1" t="s">
        <v>165</v>
      </c>
      <c r="H61" s="1" t="s">
        <v>440</v>
      </c>
      <c r="I61" s="1" t="s">
        <v>441</v>
      </c>
      <c r="J61" s="1" t="s">
        <v>17</v>
      </c>
      <c r="K61" s="2">
        <v>25733</v>
      </c>
      <c r="L61" s="1" t="s">
        <v>442</v>
      </c>
    </row>
    <row r="62" spans="1:12" x14ac:dyDescent="0.25">
      <c r="A62">
        <v>1970</v>
      </c>
      <c r="B62" s="1" t="s">
        <v>236</v>
      </c>
      <c r="C62" s="1" t="s">
        <v>321</v>
      </c>
      <c r="D62">
        <v>4</v>
      </c>
      <c r="E62">
        <v>3</v>
      </c>
      <c r="F62">
        <f>wc_all_matches[[#This Row],[score1]]+wc_all_matches[[#This Row],[score2]]</f>
        <v>7</v>
      </c>
      <c r="G62" s="1" t="s">
        <v>332</v>
      </c>
      <c r="H62" s="1" t="s">
        <v>19</v>
      </c>
      <c r="I62" s="1" t="s">
        <v>20</v>
      </c>
      <c r="J62" s="1" t="s">
        <v>17</v>
      </c>
      <c r="K62" s="2">
        <v>25736</v>
      </c>
      <c r="L62" s="1" t="s">
        <v>443</v>
      </c>
    </row>
    <row r="63" spans="1:12" x14ac:dyDescent="0.25">
      <c r="A63">
        <v>1970</v>
      </c>
      <c r="B63" s="1" t="s">
        <v>236</v>
      </c>
      <c r="C63" s="1" t="s">
        <v>55</v>
      </c>
      <c r="D63">
        <v>3</v>
      </c>
      <c r="E63">
        <v>1</v>
      </c>
      <c r="F63">
        <f>wc_all_matches[[#This Row],[score1]]+wc_all_matches[[#This Row],[score2]]</f>
        <v>4</v>
      </c>
      <c r="G63" s="1" t="s">
        <v>128</v>
      </c>
      <c r="H63" s="1" t="s">
        <v>439</v>
      </c>
      <c r="I63" s="1" t="s">
        <v>29</v>
      </c>
      <c r="J63" s="1" t="s">
        <v>17</v>
      </c>
      <c r="K63" s="2">
        <v>25736</v>
      </c>
      <c r="L63" s="1" t="s">
        <v>173</v>
      </c>
    </row>
    <row r="64" spans="1:12" x14ac:dyDescent="0.25">
      <c r="A64">
        <v>1970</v>
      </c>
      <c r="B64" s="1" t="s">
        <v>242</v>
      </c>
      <c r="C64" s="1" t="s">
        <v>332</v>
      </c>
      <c r="D64">
        <v>1</v>
      </c>
      <c r="E64">
        <v>0</v>
      </c>
      <c r="F64">
        <f>wc_all_matches[[#This Row],[score1]]+wc_all_matches[[#This Row],[score2]]</f>
        <v>1</v>
      </c>
      <c r="G64" s="1" t="s">
        <v>128</v>
      </c>
      <c r="H64" s="1" t="s">
        <v>19</v>
      </c>
      <c r="I64" s="1" t="s">
        <v>20</v>
      </c>
      <c r="J64" s="1" t="s">
        <v>17</v>
      </c>
      <c r="K64" s="2">
        <v>25739</v>
      </c>
      <c r="L64" s="1" t="s">
        <v>173</v>
      </c>
    </row>
    <row r="65" spans="1:12" x14ac:dyDescent="0.25">
      <c r="A65">
        <v>1970</v>
      </c>
      <c r="B65" s="1" t="s">
        <v>243</v>
      </c>
      <c r="C65" s="1" t="s">
        <v>55</v>
      </c>
      <c r="D65">
        <v>4</v>
      </c>
      <c r="E65">
        <v>1</v>
      </c>
      <c r="F65">
        <f>wc_all_matches[[#This Row],[score1]]+wc_all_matches[[#This Row],[score2]]</f>
        <v>5</v>
      </c>
      <c r="G65" s="1" t="s">
        <v>321</v>
      </c>
      <c r="H65" s="1" t="s">
        <v>19</v>
      </c>
      <c r="I65" s="1" t="s">
        <v>20</v>
      </c>
      <c r="J65" s="1" t="s">
        <v>17</v>
      </c>
      <c r="K65" s="2">
        <v>25740</v>
      </c>
      <c r="L65" s="1" t="s">
        <v>444</v>
      </c>
    </row>
    <row r="66" spans="1:12" x14ac:dyDescent="0.25">
      <c r="A66">
        <v>1974</v>
      </c>
      <c r="B66" s="1" t="s">
        <v>16</v>
      </c>
      <c r="C66" s="1" t="s">
        <v>445</v>
      </c>
      <c r="D66">
        <v>1</v>
      </c>
      <c r="E66">
        <v>0</v>
      </c>
      <c r="F66">
        <f>wc_all_matches[[#This Row],[score1]]+wc_all_matches[[#This Row],[score2]]</f>
        <v>1</v>
      </c>
      <c r="G66" s="1" t="s">
        <v>332</v>
      </c>
      <c r="H66" s="1" t="s">
        <v>446</v>
      </c>
      <c r="I66" s="1" t="s">
        <v>447</v>
      </c>
      <c r="J66" s="1" t="s">
        <v>332</v>
      </c>
      <c r="K66" s="2">
        <v>27202</v>
      </c>
      <c r="L66" s="1" t="s">
        <v>448</v>
      </c>
    </row>
    <row r="67" spans="1:12" x14ac:dyDescent="0.25">
      <c r="A67">
        <v>1974</v>
      </c>
      <c r="B67" s="1" t="s">
        <v>16</v>
      </c>
      <c r="C67" s="1" t="s">
        <v>55</v>
      </c>
      <c r="D67">
        <v>0</v>
      </c>
      <c r="E67">
        <v>0</v>
      </c>
      <c r="F67">
        <f>wc_all_matches[[#This Row],[score1]]+wc_all_matches[[#This Row],[score2]]</f>
        <v>0</v>
      </c>
      <c r="G67" s="1" t="s">
        <v>317</v>
      </c>
      <c r="H67" s="1" t="s">
        <v>449</v>
      </c>
      <c r="I67" s="1" t="s">
        <v>363</v>
      </c>
      <c r="J67" s="1" t="s">
        <v>332</v>
      </c>
      <c r="K67" s="2">
        <v>27198</v>
      </c>
      <c r="L67" s="1" t="s">
        <v>173</v>
      </c>
    </row>
    <row r="68" spans="1:12" x14ac:dyDescent="0.25">
      <c r="A68">
        <v>1974</v>
      </c>
      <c r="B68" s="1" t="s">
        <v>450</v>
      </c>
      <c r="C68" s="1" t="s">
        <v>100</v>
      </c>
      <c r="D68">
        <v>2</v>
      </c>
      <c r="E68">
        <v>0</v>
      </c>
      <c r="F68">
        <f>wc_all_matches[[#This Row],[score1]]+wc_all_matches[[#This Row],[score2]]</f>
        <v>2</v>
      </c>
      <c r="G68" s="1" t="s">
        <v>55</v>
      </c>
      <c r="H68" s="1" t="s">
        <v>451</v>
      </c>
      <c r="I68" s="1" t="s">
        <v>452</v>
      </c>
      <c r="J68" s="1" t="s">
        <v>332</v>
      </c>
      <c r="K68" s="2">
        <v>27213</v>
      </c>
      <c r="L68" s="1" t="s">
        <v>173</v>
      </c>
    </row>
    <row r="69" spans="1:12" x14ac:dyDescent="0.25">
      <c r="A69">
        <v>1974</v>
      </c>
      <c r="B69" s="1" t="s">
        <v>450</v>
      </c>
      <c r="C69" s="1" t="s">
        <v>332</v>
      </c>
      <c r="D69">
        <v>1</v>
      </c>
      <c r="E69">
        <v>0</v>
      </c>
      <c r="F69">
        <f>wc_all_matches[[#This Row],[score1]]+wc_all_matches[[#This Row],[score2]]</f>
        <v>1</v>
      </c>
      <c r="G69" s="1" t="s">
        <v>345</v>
      </c>
      <c r="H69" s="1" t="s">
        <v>449</v>
      </c>
      <c r="I69" s="1" t="s">
        <v>453</v>
      </c>
      <c r="J69" s="1" t="s">
        <v>332</v>
      </c>
      <c r="K69" s="2">
        <v>27213</v>
      </c>
      <c r="L69" s="1" t="s">
        <v>173</v>
      </c>
    </row>
    <row r="70" spans="1:12" x14ac:dyDescent="0.25">
      <c r="A70">
        <v>1974</v>
      </c>
      <c r="B70" s="1" t="s">
        <v>242</v>
      </c>
      <c r="C70" s="1" t="s">
        <v>345</v>
      </c>
      <c r="D70">
        <v>1</v>
      </c>
      <c r="E70">
        <v>0</v>
      </c>
      <c r="F70">
        <f>wc_all_matches[[#This Row],[score1]]+wc_all_matches[[#This Row],[score2]]</f>
        <v>1</v>
      </c>
      <c r="G70" s="1" t="s">
        <v>55</v>
      </c>
      <c r="H70" s="1" t="s">
        <v>449</v>
      </c>
      <c r="I70" s="1" t="s">
        <v>347</v>
      </c>
      <c r="J70" s="1" t="s">
        <v>332</v>
      </c>
      <c r="K70" s="2">
        <v>27216</v>
      </c>
      <c r="L70" s="1" t="s">
        <v>173</v>
      </c>
    </row>
    <row r="71" spans="1:12" x14ac:dyDescent="0.25">
      <c r="A71">
        <v>1974</v>
      </c>
      <c r="B71" s="1" t="s">
        <v>243</v>
      </c>
      <c r="C71" s="1" t="s">
        <v>332</v>
      </c>
      <c r="D71">
        <v>2</v>
      </c>
      <c r="E71">
        <v>1</v>
      </c>
      <c r="F71">
        <f>wc_all_matches[[#This Row],[score1]]+wc_all_matches[[#This Row],[score2]]</f>
        <v>3</v>
      </c>
      <c r="G71" s="1" t="s">
        <v>100</v>
      </c>
      <c r="H71" s="1" t="s">
        <v>449</v>
      </c>
      <c r="I71" s="1" t="s">
        <v>347</v>
      </c>
      <c r="J71" s="1" t="s">
        <v>332</v>
      </c>
      <c r="K71" s="2">
        <v>27217</v>
      </c>
      <c r="L71" s="1" t="s">
        <v>173</v>
      </c>
    </row>
    <row r="72" spans="1:12" x14ac:dyDescent="0.25">
      <c r="A72">
        <v>1978</v>
      </c>
      <c r="B72" s="1" t="s">
        <v>16</v>
      </c>
      <c r="C72" s="1" t="s">
        <v>144</v>
      </c>
      <c r="D72">
        <v>2</v>
      </c>
      <c r="E72">
        <v>1</v>
      </c>
      <c r="F72">
        <f>wc_all_matches[[#This Row],[score1]]+wc_all_matches[[#This Row],[score2]]</f>
        <v>3</v>
      </c>
      <c r="G72" s="1" t="s">
        <v>326</v>
      </c>
      <c r="H72" s="1" t="s">
        <v>454</v>
      </c>
      <c r="I72" s="1" t="s">
        <v>349</v>
      </c>
      <c r="J72" s="1" t="s">
        <v>144</v>
      </c>
      <c r="K72" s="2">
        <v>28643</v>
      </c>
      <c r="L72" s="1" t="s">
        <v>173</v>
      </c>
    </row>
    <row r="73" spans="1:12" x14ac:dyDescent="0.25">
      <c r="A73">
        <v>1978</v>
      </c>
      <c r="B73" s="1" t="s">
        <v>16</v>
      </c>
      <c r="C73" s="1" t="s">
        <v>321</v>
      </c>
      <c r="D73">
        <v>1</v>
      </c>
      <c r="E73">
        <v>0</v>
      </c>
      <c r="F73">
        <f>wc_all_matches[[#This Row],[score1]]+wc_all_matches[[#This Row],[score2]]</f>
        <v>1</v>
      </c>
      <c r="G73" s="1" t="s">
        <v>144</v>
      </c>
      <c r="H73" s="1" t="s">
        <v>454</v>
      </c>
      <c r="I73" s="1" t="s">
        <v>349</v>
      </c>
      <c r="J73" s="1" t="s">
        <v>144</v>
      </c>
      <c r="K73" s="2">
        <v>28651</v>
      </c>
      <c r="L73" s="1" t="s">
        <v>173</v>
      </c>
    </row>
    <row r="74" spans="1:12" x14ac:dyDescent="0.25">
      <c r="A74">
        <v>1978</v>
      </c>
      <c r="B74" s="1" t="s">
        <v>16</v>
      </c>
      <c r="C74" s="1" t="s">
        <v>144</v>
      </c>
      <c r="D74">
        <v>6</v>
      </c>
      <c r="E74">
        <v>0</v>
      </c>
      <c r="F74">
        <f>wc_all_matches[[#This Row],[score1]]+wc_all_matches[[#This Row],[score2]]</f>
        <v>6</v>
      </c>
      <c r="G74" s="1" t="s">
        <v>377</v>
      </c>
      <c r="H74" s="1" t="s">
        <v>454</v>
      </c>
      <c r="I74" s="1" t="s">
        <v>349</v>
      </c>
      <c r="J74" s="1" t="s">
        <v>144</v>
      </c>
      <c r="K74" s="2">
        <v>28662</v>
      </c>
      <c r="L74" s="1" t="s">
        <v>455</v>
      </c>
    </row>
    <row r="75" spans="1:12" x14ac:dyDescent="0.25">
      <c r="A75">
        <v>1978</v>
      </c>
      <c r="B75" s="1" t="s">
        <v>242</v>
      </c>
      <c r="C75" s="1" t="s">
        <v>55</v>
      </c>
      <c r="D75">
        <v>2</v>
      </c>
      <c r="E75">
        <v>1</v>
      </c>
      <c r="F75">
        <f>wc_all_matches[[#This Row],[score1]]+wc_all_matches[[#This Row],[score2]]</f>
        <v>3</v>
      </c>
      <c r="G75" s="1" t="s">
        <v>321</v>
      </c>
      <c r="H75" s="1" t="s">
        <v>454</v>
      </c>
      <c r="I75" s="1" t="s">
        <v>349</v>
      </c>
      <c r="J75" s="1" t="s">
        <v>144</v>
      </c>
      <c r="K75" s="2">
        <v>28665</v>
      </c>
      <c r="L75" s="1" t="s">
        <v>173</v>
      </c>
    </row>
    <row r="76" spans="1:12" x14ac:dyDescent="0.25">
      <c r="A76">
        <v>1978</v>
      </c>
      <c r="B76" s="1" t="s">
        <v>243</v>
      </c>
      <c r="C76" s="1" t="s">
        <v>144</v>
      </c>
      <c r="D76">
        <v>3</v>
      </c>
      <c r="E76">
        <v>1</v>
      </c>
      <c r="F76">
        <f>wc_all_matches[[#This Row],[score1]]+wc_all_matches[[#This Row],[score2]]</f>
        <v>4</v>
      </c>
      <c r="G76" s="1" t="s">
        <v>100</v>
      </c>
      <c r="H76" s="1" t="s">
        <v>454</v>
      </c>
      <c r="I76" s="1" t="s">
        <v>349</v>
      </c>
      <c r="J76" s="1" t="s">
        <v>144</v>
      </c>
      <c r="K76" s="2">
        <v>28666</v>
      </c>
      <c r="L76" s="1" t="s">
        <v>456</v>
      </c>
    </row>
    <row r="77" spans="1:12" x14ac:dyDescent="0.25">
      <c r="A77">
        <v>1982</v>
      </c>
      <c r="B77" s="1" t="s">
        <v>16</v>
      </c>
      <c r="C77" s="1" t="s">
        <v>145</v>
      </c>
      <c r="D77">
        <v>2</v>
      </c>
      <c r="E77">
        <v>1</v>
      </c>
      <c r="F77">
        <f>wc_all_matches[[#This Row],[score1]]+wc_all_matches[[#This Row],[score2]]</f>
        <v>3</v>
      </c>
      <c r="G77" s="1" t="s">
        <v>332</v>
      </c>
      <c r="H77" s="1" t="s">
        <v>457</v>
      </c>
      <c r="I77" s="1" t="s">
        <v>458</v>
      </c>
      <c r="J77" s="1" t="s">
        <v>123</v>
      </c>
      <c r="K77" s="2">
        <v>30118</v>
      </c>
      <c r="L77" s="1" t="s">
        <v>459</v>
      </c>
    </row>
    <row r="78" spans="1:12" x14ac:dyDescent="0.25">
      <c r="A78">
        <v>1982</v>
      </c>
      <c r="B78" s="1" t="s">
        <v>16</v>
      </c>
      <c r="C78" s="1" t="s">
        <v>332</v>
      </c>
      <c r="D78">
        <v>1</v>
      </c>
      <c r="E78">
        <v>0</v>
      </c>
      <c r="F78">
        <f>wc_all_matches[[#This Row],[score1]]+wc_all_matches[[#This Row],[score2]]</f>
        <v>1</v>
      </c>
      <c r="G78" s="1" t="s">
        <v>150</v>
      </c>
      <c r="H78" s="1" t="s">
        <v>457</v>
      </c>
      <c r="I78" s="1" t="s">
        <v>458</v>
      </c>
      <c r="J78" s="1" t="s">
        <v>123</v>
      </c>
      <c r="K78" s="2">
        <v>30127</v>
      </c>
      <c r="L78" s="1" t="s">
        <v>460</v>
      </c>
    </row>
    <row r="79" spans="1:12" x14ac:dyDescent="0.25">
      <c r="A79">
        <v>1982</v>
      </c>
      <c r="B79" s="1" t="s">
        <v>16</v>
      </c>
      <c r="C79" s="1" t="s">
        <v>55</v>
      </c>
      <c r="D79">
        <v>3</v>
      </c>
      <c r="E79">
        <v>1</v>
      </c>
      <c r="F79">
        <f>wc_all_matches[[#This Row],[score1]]+wc_all_matches[[#This Row],[score2]]</f>
        <v>4</v>
      </c>
      <c r="G79" s="1" t="s">
        <v>144</v>
      </c>
      <c r="H79" s="1" t="s">
        <v>461</v>
      </c>
      <c r="I79" s="1" t="s">
        <v>462</v>
      </c>
      <c r="J79" s="1" t="s">
        <v>123</v>
      </c>
      <c r="K79" s="2">
        <v>30104</v>
      </c>
      <c r="L79" s="1" t="s">
        <v>173</v>
      </c>
    </row>
    <row r="80" spans="1:12" x14ac:dyDescent="0.25">
      <c r="A80">
        <v>1982</v>
      </c>
      <c r="B80" s="1" t="s">
        <v>227</v>
      </c>
      <c r="C80" s="1" t="s">
        <v>332</v>
      </c>
      <c r="D80">
        <v>0</v>
      </c>
      <c r="E80">
        <v>0</v>
      </c>
      <c r="F80">
        <f>wc_all_matches[[#This Row],[score1]]+wc_all_matches[[#This Row],[score2]]</f>
        <v>0</v>
      </c>
      <c r="G80" s="1" t="s">
        <v>134</v>
      </c>
      <c r="H80" s="1" t="s">
        <v>463</v>
      </c>
      <c r="I80" s="1" t="s">
        <v>464</v>
      </c>
      <c r="J80" s="1" t="s">
        <v>123</v>
      </c>
      <c r="K80" s="2">
        <v>30140</v>
      </c>
      <c r="L80" s="1" t="s">
        <v>465</v>
      </c>
    </row>
    <row r="81" spans="1:12" x14ac:dyDescent="0.25">
      <c r="A81">
        <v>1982</v>
      </c>
      <c r="B81" s="1" t="s">
        <v>236</v>
      </c>
      <c r="C81" s="1" t="s">
        <v>321</v>
      </c>
      <c r="D81">
        <v>2</v>
      </c>
      <c r="E81">
        <v>0</v>
      </c>
      <c r="F81">
        <f>wc_all_matches[[#This Row],[score1]]+wc_all_matches[[#This Row],[score2]]</f>
        <v>2</v>
      </c>
      <c r="G81" s="1" t="s">
        <v>345</v>
      </c>
      <c r="H81" s="1" t="s">
        <v>466</v>
      </c>
      <c r="I81" s="1" t="s">
        <v>462</v>
      </c>
      <c r="J81" s="1" t="s">
        <v>123</v>
      </c>
      <c r="K81" s="2">
        <v>30140</v>
      </c>
      <c r="L81" s="1" t="s">
        <v>173</v>
      </c>
    </row>
    <row r="82" spans="1:12" x14ac:dyDescent="0.25">
      <c r="A82">
        <v>1982</v>
      </c>
      <c r="B82" s="1" t="s">
        <v>242</v>
      </c>
      <c r="C82" s="1" t="s">
        <v>345</v>
      </c>
      <c r="D82">
        <v>3</v>
      </c>
      <c r="E82">
        <v>2</v>
      </c>
      <c r="F82">
        <f>wc_all_matches[[#This Row],[score1]]+wc_all_matches[[#This Row],[score2]]</f>
        <v>5</v>
      </c>
      <c r="G82" s="1" t="s">
        <v>134</v>
      </c>
      <c r="H82" s="1" t="s">
        <v>467</v>
      </c>
      <c r="I82" s="1" t="s">
        <v>351</v>
      </c>
      <c r="J82" s="1" t="s">
        <v>123</v>
      </c>
      <c r="K82" s="2">
        <v>30142</v>
      </c>
      <c r="L82" s="1" t="s">
        <v>173</v>
      </c>
    </row>
    <row r="83" spans="1:12" x14ac:dyDescent="0.25">
      <c r="A83">
        <v>1982</v>
      </c>
      <c r="B83" s="1" t="s">
        <v>243</v>
      </c>
      <c r="C83" s="1" t="s">
        <v>321</v>
      </c>
      <c r="D83">
        <v>3</v>
      </c>
      <c r="E83">
        <v>1</v>
      </c>
      <c r="F83">
        <f>wc_all_matches[[#This Row],[score1]]+wc_all_matches[[#This Row],[score2]]</f>
        <v>4</v>
      </c>
      <c r="G83" s="1" t="s">
        <v>332</v>
      </c>
      <c r="H83" s="1" t="s">
        <v>468</v>
      </c>
      <c r="I83" s="1" t="s">
        <v>351</v>
      </c>
      <c r="J83" s="1" t="s">
        <v>123</v>
      </c>
      <c r="K83" s="2">
        <v>30143</v>
      </c>
      <c r="L83" s="1" t="s">
        <v>469</v>
      </c>
    </row>
    <row r="84" spans="1:12" x14ac:dyDescent="0.25">
      <c r="A84">
        <v>1986</v>
      </c>
      <c r="B84" s="1" t="s">
        <v>16</v>
      </c>
      <c r="C84" s="1" t="s">
        <v>470</v>
      </c>
      <c r="D84">
        <v>6</v>
      </c>
      <c r="E84">
        <v>1</v>
      </c>
      <c r="F84">
        <f>wc_all_matches[[#This Row],[score1]]+wc_all_matches[[#This Row],[score2]]</f>
        <v>7</v>
      </c>
      <c r="G84" s="1" t="s">
        <v>128</v>
      </c>
      <c r="H84" s="1" t="s">
        <v>471</v>
      </c>
      <c r="I84" s="1" t="s">
        <v>472</v>
      </c>
      <c r="J84" s="1" t="s">
        <v>17</v>
      </c>
      <c r="K84" s="2">
        <v>31571</v>
      </c>
      <c r="L84" s="1" t="s">
        <v>173</v>
      </c>
    </row>
    <row r="85" spans="1:12" x14ac:dyDescent="0.25">
      <c r="A85">
        <v>1986</v>
      </c>
      <c r="B85" s="1" t="s">
        <v>210</v>
      </c>
      <c r="C85" s="1" t="s">
        <v>113</v>
      </c>
      <c r="D85">
        <v>4</v>
      </c>
      <c r="E85">
        <v>3</v>
      </c>
      <c r="F85">
        <f>wc_all_matches[[#This Row],[score1]]+wc_all_matches[[#This Row],[score2]]</f>
        <v>7</v>
      </c>
      <c r="G85" s="1" t="s">
        <v>341</v>
      </c>
      <c r="H85" s="1" t="s">
        <v>439</v>
      </c>
      <c r="I85" s="1" t="s">
        <v>29</v>
      </c>
      <c r="J85" s="1" t="s">
        <v>17</v>
      </c>
      <c r="K85" s="2">
        <v>31578</v>
      </c>
      <c r="L85" s="1" t="s">
        <v>387</v>
      </c>
    </row>
    <row r="86" spans="1:12" x14ac:dyDescent="0.25">
      <c r="A86">
        <v>1986</v>
      </c>
      <c r="B86" s="1" t="s">
        <v>227</v>
      </c>
      <c r="C86" s="1" t="s">
        <v>144</v>
      </c>
      <c r="D86">
        <v>2</v>
      </c>
      <c r="E86">
        <v>1</v>
      </c>
      <c r="F86">
        <f>wc_all_matches[[#This Row],[score1]]+wc_all_matches[[#This Row],[score2]]</f>
        <v>3</v>
      </c>
      <c r="G86" s="1" t="s">
        <v>165</v>
      </c>
      <c r="H86" s="1" t="s">
        <v>19</v>
      </c>
      <c r="I86" s="1" t="s">
        <v>20</v>
      </c>
      <c r="J86" s="1" t="s">
        <v>17</v>
      </c>
      <c r="K86" s="2">
        <v>31585</v>
      </c>
      <c r="L86" s="1" t="s">
        <v>473</v>
      </c>
    </row>
    <row r="87" spans="1:12" x14ac:dyDescent="0.25">
      <c r="A87">
        <v>1986</v>
      </c>
      <c r="B87" s="1" t="s">
        <v>227</v>
      </c>
      <c r="C87" s="1" t="s">
        <v>134</v>
      </c>
      <c r="D87">
        <v>0</v>
      </c>
      <c r="E87">
        <v>0</v>
      </c>
      <c r="F87">
        <f>wc_all_matches[[#This Row],[score1]]+wc_all_matches[[#This Row],[score2]]</f>
        <v>0</v>
      </c>
      <c r="G87" s="1" t="s">
        <v>55</v>
      </c>
      <c r="H87" s="1" t="s">
        <v>439</v>
      </c>
      <c r="I87" s="1" t="s">
        <v>29</v>
      </c>
      <c r="J87" s="1" t="s">
        <v>17</v>
      </c>
      <c r="K87" s="2">
        <v>31584</v>
      </c>
      <c r="L87" s="1" t="s">
        <v>474</v>
      </c>
    </row>
    <row r="88" spans="1:12" x14ac:dyDescent="0.25">
      <c r="A88">
        <v>1986</v>
      </c>
      <c r="B88" s="1" t="s">
        <v>236</v>
      </c>
      <c r="C88" s="1" t="s">
        <v>144</v>
      </c>
      <c r="D88">
        <v>2</v>
      </c>
      <c r="E88">
        <v>0</v>
      </c>
      <c r="F88">
        <f>wc_all_matches[[#This Row],[score1]]+wc_all_matches[[#This Row],[score2]]</f>
        <v>2</v>
      </c>
      <c r="G88" s="1" t="s">
        <v>113</v>
      </c>
      <c r="H88" s="1" t="s">
        <v>19</v>
      </c>
      <c r="I88" s="1" t="s">
        <v>20</v>
      </c>
      <c r="J88" s="1" t="s">
        <v>17</v>
      </c>
      <c r="K88" s="2">
        <v>31588</v>
      </c>
      <c r="L88" s="1" t="s">
        <v>475</v>
      </c>
    </row>
    <row r="89" spans="1:12" x14ac:dyDescent="0.25">
      <c r="A89">
        <v>1986</v>
      </c>
      <c r="B89" s="1" t="s">
        <v>236</v>
      </c>
      <c r="C89" s="1" t="s">
        <v>332</v>
      </c>
      <c r="D89">
        <v>2</v>
      </c>
      <c r="E89">
        <v>0</v>
      </c>
      <c r="F89">
        <f>wc_all_matches[[#This Row],[score1]]+wc_all_matches[[#This Row],[score2]]</f>
        <v>2</v>
      </c>
      <c r="G89" s="1" t="s">
        <v>134</v>
      </c>
      <c r="H89" s="1" t="s">
        <v>439</v>
      </c>
      <c r="I89" s="1" t="s">
        <v>29</v>
      </c>
      <c r="J89" s="1" t="s">
        <v>17</v>
      </c>
      <c r="K89" s="2">
        <v>31588</v>
      </c>
      <c r="L89" s="1" t="s">
        <v>173</v>
      </c>
    </row>
    <row r="90" spans="1:12" x14ac:dyDescent="0.25">
      <c r="A90">
        <v>1986</v>
      </c>
      <c r="B90" s="1" t="s">
        <v>242</v>
      </c>
      <c r="C90" s="1" t="s">
        <v>134</v>
      </c>
      <c r="D90">
        <v>4</v>
      </c>
      <c r="E90">
        <v>2</v>
      </c>
      <c r="F90">
        <f>wc_all_matches[[#This Row],[score1]]+wc_all_matches[[#This Row],[score2]]</f>
        <v>6</v>
      </c>
      <c r="G90" s="1" t="s">
        <v>113</v>
      </c>
      <c r="H90" s="1" t="s">
        <v>476</v>
      </c>
      <c r="I90" s="1" t="s">
        <v>477</v>
      </c>
      <c r="J90" s="1" t="s">
        <v>17</v>
      </c>
      <c r="K90" s="2">
        <v>31591</v>
      </c>
      <c r="L90" s="1" t="s">
        <v>173</v>
      </c>
    </row>
    <row r="91" spans="1:12" x14ac:dyDescent="0.25">
      <c r="A91">
        <v>1986</v>
      </c>
      <c r="B91" s="1" t="s">
        <v>243</v>
      </c>
      <c r="C91" s="1" t="s">
        <v>144</v>
      </c>
      <c r="D91">
        <v>3</v>
      </c>
      <c r="E91">
        <v>2</v>
      </c>
      <c r="F91">
        <f>wc_all_matches[[#This Row],[score1]]+wc_all_matches[[#This Row],[score2]]</f>
        <v>5</v>
      </c>
      <c r="G91" s="1" t="s">
        <v>332</v>
      </c>
      <c r="H91" s="1" t="s">
        <v>19</v>
      </c>
      <c r="I91" s="1" t="s">
        <v>20</v>
      </c>
      <c r="J91" s="1" t="s">
        <v>17</v>
      </c>
      <c r="K91" s="2">
        <v>31592</v>
      </c>
      <c r="L91" s="1" t="s">
        <v>478</v>
      </c>
    </row>
    <row r="92" spans="1:12" x14ac:dyDescent="0.25">
      <c r="A92">
        <v>1990</v>
      </c>
      <c r="B92" s="1" t="s">
        <v>16</v>
      </c>
      <c r="C92" s="1" t="s">
        <v>144</v>
      </c>
      <c r="D92">
        <v>0</v>
      </c>
      <c r="E92">
        <v>1</v>
      </c>
      <c r="F92">
        <f>wc_all_matches[[#This Row],[score1]]+wc_all_matches[[#This Row],[score2]]</f>
        <v>1</v>
      </c>
      <c r="G92" s="1" t="s">
        <v>479</v>
      </c>
      <c r="H92" s="1" t="s">
        <v>382</v>
      </c>
      <c r="I92" s="1" t="s">
        <v>383</v>
      </c>
      <c r="J92" s="1" t="s">
        <v>321</v>
      </c>
      <c r="K92" s="2">
        <v>33032</v>
      </c>
      <c r="L92" s="1" t="s">
        <v>480</v>
      </c>
    </row>
    <row r="93" spans="1:12" x14ac:dyDescent="0.25">
      <c r="A93">
        <v>1990</v>
      </c>
      <c r="B93" s="1" t="s">
        <v>16</v>
      </c>
      <c r="C93" s="1" t="s">
        <v>161</v>
      </c>
      <c r="D93">
        <v>1</v>
      </c>
      <c r="E93">
        <v>1</v>
      </c>
      <c r="F93">
        <f>wc_all_matches[[#This Row],[score1]]+wc_all_matches[[#This Row],[score2]]</f>
        <v>2</v>
      </c>
      <c r="G93" s="1" t="s">
        <v>332</v>
      </c>
      <c r="H93" s="1" t="s">
        <v>481</v>
      </c>
      <c r="I93" s="1" t="s">
        <v>383</v>
      </c>
      <c r="J93" s="1" t="s">
        <v>321</v>
      </c>
      <c r="K93" s="2">
        <v>33043</v>
      </c>
      <c r="L93" s="1" t="s">
        <v>482</v>
      </c>
    </row>
    <row r="94" spans="1:12" x14ac:dyDescent="0.25">
      <c r="A94">
        <v>1990</v>
      </c>
      <c r="B94" s="1" t="s">
        <v>210</v>
      </c>
      <c r="C94" s="1" t="s">
        <v>483</v>
      </c>
      <c r="D94">
        <v>0</v>
      </c>
      <c r="E94">
        <v>0</v>
      </c>
      <c r="F94">
        <f>wc_all_matches[[#This Row],[score1]]+wc_all_matches[[#This Row],[score2]]</f>
        <v>0</v>
      </c>
      <c r="G94" s="1" t="s">
        <v>484</v>
      </c>
      <c r="H94" s="1" t="s">
        <v>485</v>
      </c>
      <c r="I94" s="1" t="s">
        <v>486</v>
      </c>
      <c r="J94" s="1" t="s">
        <v>321</v>
      </c>
      <c r="K94" s="2">
        <v>33049</v>
      </c>
      <c r="L94" s="1" t="s">
        <v>487</v>
      </c>
    </row>
    <row r="95" spans="1:12" x14ac:dyDescent="0.25">
      <c r="A95">
        <v>1990</v>
      </c>
      <c r="B95" s="1" t="s">
        <v>227</v>
      </c>
      <c r="C95" s="1" t="s">
        <v>332</v>
      </c>
      <c r="D95">
        <v>1</v>
      </c>
      <c r="E95">
        <v>0</v>
      </c>
      <c r="F95">
        <f>wc_all_matches[[#This Row],[score1]]+wc_all_matches[[#This Row],[score2]]</f>
        <v>1</v>
      </c>
      <c r="G95" s="1" t="s">
        <v>322</v>
      </c>
      <c r="H95" s="1" t="s">
        <v>488</v>
      </c>
      <c r="I95" s="1" t="s">
        <v>489</v>
      </c>
      <c r="J95" s="1" t="s">
        <v>321</v>
      </c>
      <c r="K95" s="2">
        <v>33055</v>
      </c>
      <c r="L95" s="1" t="s">
        <v>173</v>
      </c>
    </row>
    <row r="96" spans="1:12" x14ac:dyDescent="0.25">
      <c r="A96">
        <v>1990</v>
      </c>
      <c r="B96" s="1" t="s">
        <v>227</v>
      </c>
      <c r="C96" s="1" t="s">
        <v>144</v>
      </c>
      <c r="D96">
        <v>0</v>
      </c>
      <c r="E96">
        <v>0</v>
      </c>
      <c r="F96">
        <f>wc_all_matches[[#This Row],[score1]]+wc_all_matches[[#This Row],[score2]]</f>
        <v>0</v>
      </c>
      <c r="G96" s="1" t="s">
        <v>317</v>
      </c>
      <c r="H96" s="1" t="s">
        <v>490</v>
      </c>
      <c r="I96" s="1" t="s">
        <v>380</v>
      </c>
      <c r="J96" s="1" t="s">
        <v>321</v>
      </c>
      <c r="K96" s="2">
        <v>33055</v>
      </c>
      <c r="L96" s="1" t="s">
        <v>491</v>
      </c>
    </row>
    <row r="97" spans="1:12" x14ac:dyDescent="0.25">
      <c r="A97">
        <v>1990</v>
      </c>
      <c r="B97" s="1" t="s">
        <v>236</v>
      </c>
      <c r="C97" s="1" t="s">
        <v>332</v>
      </c>
      <c r="D97">
        <v>1</v>
      </c>
      <c r="E97">
        <v>1</v>
      </c>
      <c r="F97">
        <f>wc_all_matches[[#This Row],[score1]]+wc_all_matches[[#This Row],[score2]]</f>
        <v>2</v>
      </c>
      <c r="G97" s="1" t="s">
        <v>165</v>
      </c>
      <c r="H97" s="1" t="s">
        <v>488</v>
      </c>
      <c r="I97" s="1" t="s">
        <v>489</v>
      </c>
      <c r="J97" s="1" t="s">
        <v>321</v>
      </c>
      <c r="K97" s="2">
        <v>33058</v>
      </c>
      <c r="L97" s="1" t="s">
        <v>492</v>
      </c>
    </row>
    <row r="98" spans="1:12" x14ac:dyDescent="0.25">
      <c r="A98">
        <v>1990</v>
      </c>
      <c r="B98" s="1" t="s">
        <v>236</v>
      </c>
      <c r="C98" s="1" t="s">
        <v>144</v>
      </c>
      <c r="D98">
        <v>1</v>
      </c>
      <c r="E98">
        <v>1</v>
      </c>
      <c r="F98">
        <f>wc_all_matches[[#This Row],[score1]]+wc_all_matches[[#This Row],[score2]]</f>
        <v>2</v>
      </c>
      <c r="G98" s="1" t="s">
        <v>321</v>
      </c>
      <c r="H98" s="1" t="s">
        <v>493</v>
      </c>
      <c r="I98" s="1" t="s">
        <v>386</v>
      </c>
      <c r="J98" s="1" t="s">
        <v>321</v>
      </c>
      <c r="K98" s="2">
        <v>33057</v>
      </c>
      <c r="L98" s="1" t="s">
        <v>494</v>
      </c>
    </row>
    <row r="99" spans="1:12" x14ac:dyDescent="0.25">
      <c r="A99">
        <v>1990</v>
      </c>
      <c r="B99" s="1" t="s">
        <v>242</v>
      </c>
      <c r="C99" s="1" t="s">
        <v>321</v>
      </c>
      <c r="D99">
        <v>2</v>
      </c>
      <c r="E99">
        <v>1</v>
      </c>
      <c r="F99">
        <f>wc_all_matches[[#This Row],[score1]]+wc_all_matches[[#This Row],[score2]]</f>
        <v>3</v>
      </c>
      <c r="G99" s="1" t="s">
        <v>165</v>
      </c>
      <c r="H99" s="1" t="s">
        <v>495</v>
      </c>
      <c r="I99" s="1" t="s">
        <v>496</v>
      </c>
      <c r="J99" s="1" t="s">
        <v>321</v>
      </c>
      <c r="K99" s="2">
        <v>33061</v>
      </c>
      <c r="L99" s="1" t="s">
        <v>497</v>
      </c>
    </row>
    <row r="100" spans="1:12" x14ac:dyDescent="0.25">
      <c r="A100">
        <v>1990</v>
      </c>
      <c r="B100" s="1" t="s">
        <v>243</v>
      </c>
      <c r="C100" s="1" t="s">
        <v>332</v>
      </c>
      <c r="D100">
        <v>1</v>
      </c>
      <c r="E100">
        <v>0</v>
      </c>
      <c r="F100">
        <f>wc_all_matches[[#This Row],[score1]]+wc_all_matches[[#This Row],[score2]]</f>
        <v>1</v>
      </c>
      <c r="G100" s="1" t="s">
        <v>144</v>
      </c>
      <c r="H100" s="1" t="s">
        <v>498</v>
      </c>
      <c r="I100" s="1" t="s">
        <v>324</v>
      </c>
      <c r="J100" s="1" t="s">
        <v>321</v>
      </c>
      <c r="K100" s="2">
        <v>33062</v>
      </c>
      <c r="L100" s="1" t="s">
        <v>499</v>
      </c>
    </row>
    <row r="101" spans="1:12" x14ac:dyDescent="0.25">
      <c r="A101">
        <v>1994</v>
      </c>
      <c r="B101" s="1" t="s">
        <v>16</v>
      </c>
      <c r="C101" s="1" t="s">
        <v>500</v>
      </c>
      <c r="D101">
        <v>0</v>
      </c>
      <c r="E101">
        <v>1</v>
      </c>
      <c r="F101">
        <f>wc_all_matches[[#This Row],[score1]]+wc_all_matches[[#This Row],[score2]]</f>
        <v>1</v>
      </c>
      <c r="G101" s="1" t="s">
        <v>85</v>
      </c>
      <c r="H101" s="1" t="s">
        <v>501</v>
      </c>
      <c r="I101" s="1" t="s">
        <v>502</v>
      </c>
      <c r="J101" s="1" t="s">
        <v>49</v>
      </c>
      <c r="K101" s="2">
        <v>34502</v>
      </c>
      <c r="L101" s="1" t="s">
        <v>503</v>
      </c>
    </row>
    <row r="102" spans="1:12" x14ac:dyDescent="0.25">
      <c r="A102">
        <v>1994</v>
      </c>
      <c r="B102" s="1" t="s">
        <v>16</v>
      </c>
      <c r="C102" s="1" t="s">
        <v>367</v>
      </c>
      <c r="D102">
        <v>6</v>
      </c>
      <c r="E102">
        <v>1</v>
      </c>
      <c r="F102">
        <f>wc_all_matches[[#This Row],[score1]]+wc_all_matches[[#This Row],[score2]]</f>
        <v>7</v>
      </c>
      <c r="G102" s="1" t="s">
        <v>479</v>
      </c>
      <c r="H102" s="1" t="s">
        <v>504</v>
      </c>
      <c r="I102" s="1" t="s">
        <v>505</v>
      </c>
      <c r="J102" s="1" t="s">
        <v>49</v>
      </c>
      <c r="K102" s="2">
        <v>34513</v>
      </c>
      <c r="L102" s="1" t="s">
        <v>506</v>
      </c>
    </row>
    <row r="103" spans="1:12" x14ac:dyDescent="0.25">
      <c r="A103">
        <v>1994</v>
      </c>
      <c r="B103" s="1" t="s">
        <v>16</v>
      </c>
      <c r="C103" s="1" t="s">
        <v>55</v>
      </c>
      <c r="D103">
        <v>3</v>
      </c>
      <c r="E103">
        <v>0</v>
      </c>
      <c r="F103">
        <f>wc_all_matches[[#This Row],[score1]]+wc_all_matches[[#This Row],[score2]]</f>
        <v>3</v>
      </c>
      <c r="G103" s="1" t="s">
        <v>367</v>
      </c>
      <c r="H103" s="1" t="s">
        <v>504</v>
      </c>
      <c r="I103" s="1" t="s">
        <v>507</v>
      </c>
      <c r="J103" s="1" t="s">
        <v>49</v>
      </c>
      <c r="K103" s="2">
        <v>34513</v>
      </c>
      <c r="L103" s="1" t="s">
        <v>173</v>
      </c>
    </row>
    <row r="104" spans="1:12" x14ac:dyDescent="0.25">
      <c r="A104">
        <v>1994</v>
      </c>
      <c r="B104" s="1" t="s">
        <v>227</v>
      </c>
      <c r="C104" s="1" t="s">
        <v>55</v>
      </c>
      <c r="D104">
        <v>1</v>
      </c>
      <c r="E104">
        <v>0</v>
      </c>
      <c r="F104">
        <f>wc_all_matches[[#This Row],[score1]]+wc_all_matches[[#This Row],[score2]]</f>
        <v>1</v>
      </c>
      <c r="G104" s="1" t="s">
        <v>100</v>
      </c>
      <c r="H104" s="1" t="s">
        <v>508</v>
      </c>
      <c r="I104" s="1" t="s">
        <v>509</v>
      </c>
      <c r="J104" s="1" t="s">
        <v>49</v>
      </c>
      <c r="K104" s="2">
        <v>34524</v>
      </c>
      <c r="L104" s="1" t="s">
        <v>510</v>
      </c>
    </row>
    <row r="105" spans="1:12" x14ac:dyDescent="0.25">
      <c r="A105">
        <v>1994</v>
      </c>
      <c r="B105" s="1" t="s">
        <v>236</v>
      </c>
      <c r="C105" s="1" t="s">
        <v>55</v>
      </c>
      <c r="D105">
        <v>1</v>
      </c>
      <c r="E105">
        <v>0</v>
      </c>
      <c r="F105">
        <f>wc_all_matches[[#This Row],[score1]]+wc_all_matches[[#This Row],[score2]]</f>
        <v>1</v>
      </c>
      <c r="G105" s="1" t="s">
        <v>105</v>
      </c>
      <c r="H105" s="1" t="s">
        <v>184</v>
      </c>
      <c r="I105" s="1" t="s">
        <v>185</v>
      </c>
      <c r="J105" s="1" t="s">
        <v>49</v>
      </c>
      <c r="K105" s="2">
        <v>34528</v>
      </c>
      <c r="L105" s="1" t="s">
        <v>173</v>
      </c>
    </row>
    <row r="106" spans="1:12" x14ac:dyDescent="0.25">
      <c r="A106">
        <v>1994</v>
      </c>
      <c r="B106" s="1" t="s">
        <v>236</v>
      </c>
      <c r="C106" s="1" t="s">
        <v>321</v>
      </c>
      <c r="D106">
        <v>2</v>
      </c>
      <c r="E106">
        <v>1</v>
      </c>
      <c r="F106">
        <f>wc_all_matches[[#This Row],[score1]]+wc_all_matches[[#This Row],[score2]]</f>
        <v>3</v>
      </c>
      <c r="G106" s="1" t="s">
        <v>354</v>
      </c>
      <c r="H106" s="1" t="s">
        <v>511</v>
      </c>
      <c r="I106" s="1" t="s">
        <v>512</v>
      </c>
      <c r="J106" s="1" t="s">
        <v>49</v>
      </c>
      <c r="K106" s="2">
        <v>34528</v>
      </c>
      <c r="L106" s="1" t="s">
        <v>173</v>
      </c>
    </row>
    <row r="107" spans="1:12" x14ac:dyDescent="0.25">
      <c r="A107">
        <v>1994</v>
      </c>
      <c r="B107" s="1" t="s">
        <v>242</v>
      </c>
      <c r="C107" s="1" t="s">
        <v>105</v>
      </c>
      <c r="D107">
        <v>4</v>
      </c>
      <c r="E107">
        <v>0</v>
      </c>
      <c r="F107">
        <f>wc_all_matches[[#This Row],[score1]]+wc_all_matches[[#This Row],[score2]]</f>
        <v>4</v>
      </c>
      <c r="G107" s="1" t="s">
        <v>354</v>
      </c>
      <c r="H107" s="1" t="s">
        <v>184</v>
      </c>
      <c r="I107" s="1" t="s">
        <v>185</v>
      </c>
      <c r="J107" s="1" t="s">
        <v>49</v>
      </c>
      <c r="K107" s="2">
        <v>34531</v>
      </c>
      <c r="L107" s="1" t="s">
        <v>173</v>
      </c>
    </row>
    <row r="108" spans="1:12" x14ac:dyDescent="0.25">
      <c r="A108">
        <v>1994</v>
      </c>
      <c r="B108" s="1" t="s">
        <v>243</v>
      </c>
      <c r="C108" s="1" t="s">
        <v>55</v>
      </c>
      <c r="D108">
        <v>0</v>
      </c>
      <c r="E108">
        <v>0</v>
      </c>
      <c r="F108">
        <f>wc_all_matches[[#This Row],[score1]]+wc_all_matches[[#This Row],[score2]]</f>
        <v>0</v>
      </c>
      <c r="G108" s="1" t="s">
        <v>321</v>
      </c>
      <c r="H108" s="1" t="s">
        <v>184</v>
      </c>
      <c r="I108" s="1" t="s">
        <v>185</v>
      </c>
      <c r="J108" s="1" t="s">
        <v>49</v>
      </c>
      <c r="K108" s="2">
        <v>34532</v>
      </c>
      <c r="L108" s="1" t="s">
        <v>513</v>
      </c>
    </row>
    <row r="109" spans="1:12" x14ac:dyDescent="0.25">
      <c r="A109">
        <v>1998</v>
      </c>
      <c r="B109" s="1" t="s">
        <v>16</v>
      </c>
      <c r="C109" s="1" t="s">
        <v>55</v>
      </c>
      <c r="D109">
        <v>2</v>
      </c>
      <c r="E109">
        <v>1</v>
      </c>
      <c r="F109">
        <f>wc_all_matches[[#This Row],[score1]]+wc_all_matches[[#This Row],[score2]]</f>
        <v>3</v>
      </c>
      <c r="G109" s="1" t="s">
        <v>63</v>
      </c>
      <c r="H109" s="1" t="s">
        <v>514</v>
      </c>
      <c r="I109" s="1" t="s">
        <v>515</v>
      </c>
      <c r="J109" s="1" t="s">
        <v>134</v>
      </c>
      <c r="K109" s="2">
        <v>35956</v>
      </c>
      <c r="L109" s="1" t="s">
        <v>173</v>
      </c>
    </row>
    <row r="110" spans="1:12" x14ac:dyDescent="0.25">
      <c r="A110">
        <v>1998</v>
      </c>
      <c r="B110" s="1" t="s">
        <v>16</v>
      </c>
      <c r="C110" s="1" t="s">
        <v>516</v>
      </c>
      <c r="D110">
        <v>3</v>
      </c>
      <c r="E110">
        <v>2</v>
      </c>
      <c r="F110">
        <f>wc_all_matches[[#This Row],[score1]]+wc_all_matches[[#This Row],[score2]]</f>
        <v>5</v>
      </c>
      <c r="G110" s="1" t="s">
        <v>123</v>
      </c>
      <c r="H110" s="1" t="s">
        <v>517</v>
      </c>
      <c r="I110" s="1" t="s">
        <v>518</v>
      </c>
      <c r="J110" s="1" t="s">
        <v>134</v>
      </c>
      <c r="K110" s="2">
        <v>35959</v>
      </c>
      <c r="L110" s="1" t="s">
        <v>173</v>
      </c>
    </row>
    <row r="111" spans="1:12" x14ac:dyDescent="0.25">
      <c r="A111">
        <v>1998</v>
      </c>
      <c r="B111" s="1" t="s">
        <v>210</v>
      </c>
      <c r="C111" s="1" t="s">
        <v>144</v>
      </c>
      <c r="D111">
        <v>2</v>
      </c>
      <c r="E111">
        <v>2</v>
      </c>
      <c r="F111">
        <f>wc_all_matches[[#This Row],[score1]]+wc_all_matches[[#This Row],[score2]]</f>
        <v>4</v>
      </c>
      <c r="G111" s="1" t="s">
        <v>165</v>
      </c>
      <c r="H111" s="1" t="s">
        <v>519</v>
      </c>
      <c r="I111" s="1" t="s">
        <v>520</v>
      </c>
      <c r="J111" s="1" t="s">
        <v>134</v>
      </c>
      <c r="K111" s="2">
        <v>35976</v>
      </c>
      <c r="L111" s="1" t="s">
        <v>521</v>
      </c>
    </row>
    <row r="112" spans="1:12" x14ac:dyDescent="0.25">
      <c r="A112">
        <v>1998</v>
      </c>
      <c r="B112" s="1" t="s">
        <v>210</v>
      </c>
      <c r="C112" s="1" t="s">
        <v>134</v>
      </c>
      <c r="D112">
        <v>1</v>
      </c>
      <c r="E112">
        <v>0</v>
      </c>
      <c r="F112">
        <f>wc_all_matches[[#This Row],[score1]]+wc_all_matches[[#This Row],[score2]]</f>
        <v>1</v>
      </c>
      <c r="G112" s="1" t="s">
        <v>69</v>
      </c>
      <c r="H112" s="1" t="s">
        <v>522</v>
      </c>
      <c r="I112" s="1" t="s">
        <v>523</v>
      </c>
      <c r="J112" s="1" t="s">
        <v>134</v>
      </c>
      <c r="K112" s="2">
        <v>35974</v>
      </c>
      <c r="L112" s="1" t="s">
        <v>524</v>
      </c>
    </row>
    <row r="113" spans="1:12" x14ac:dyDescent="0.25">
      <c r="A113">
        <v>1998</v>
      </c>
      <c r="B113" s="1" t="s">
        <v>227</v>
      </c>
      <c r="C113" s="1" t="s">
        <v>100</v>
      </c>
      <c r="D113">
        <v>2</v>
      </c>
      <c r="E113">
        <v>1</v>
      </c>
      <c r="F113">
        <f>wc_all_matches[[#This Row],[score1]]+wc_all_matches[[#This Row],[score2]]</f>
        <v>3</v>
      </c>
      <c r="G113" s="1" t="s">
        <v>144</v>
      </c>
      <c r="H113" s="1" t="s">
        <v>525</v>
      </c>
      <c r="I113" s="1" t="s">
        <v>526</v>
      </c>
      <c r="J113" s="1" t="s">
        <v>134</v>
      </c>
      <c r="K113" s="2">
        <v>35980</v>
      </c>
      <c r="L113" s="1" t="s">
        <v>527</v>
      </c>
    </row>
    <row r="114" spans="1:12" x14ac:dyDescent="0.25">
      <c r="A114">
        <v>1998</v>
      </c>
      <c r="B114" s="1" t="s">
        <v>227</v>
      </c>
      <c r="C114" s="1" t="s">
        <v>134</v>
      </c>
      <c r="D114">
        <v>0</v>
      </c>
      <c r="E114">
        <v>0</v>
      </c>
      <c r="F114">
        <f>wc_all_matches[[#This Row],[score1]]+wc_all_matches[[#This Row],[score2]]</f>
        <v>0</v>
      </c>
      <c r="G114" s="1" t="s">
        <v>321</v>
      </c>
      <c r="H114" s="1" t="s">
        <v>514</v>
      </c>
      <c r="I114" s="1" t="s">
        <v>515</v>
      </c>
      <c r="J114" s="1" t="s">
        <v>134</v>
      </c>
      <c r="K114" s="2">
        <v>35979</v>
      </c>
      <c r="L114" s="1" t="s">
        <v>474</v>
      </c>
    </row>
    <row r="115" spans="1:12" x14ac:dyDescent="0.25">
      <c r="A115">
        <v>1998</v>
      </c>
      <c r="B115" s="1" t="s">
        <v>236</v>
      </c>
      <c r="C115" s="1" t="s">
        <v>134</v>
      </c>
      <c r="D115">
        <v>2</v>
      </c>
      <c r="E115">
        <v>1</v>
      </c>
      <c r="F115">
        <f>wc_all_matches[[#This Row],[score1]]+wc_all_matches[[#This Row],[score2]]</f>
        <v>3</v>
      </c>
      <c r="G115" s="1" t="s">
        <v>166</v>
      </c>
      <c r="H115" s="1" t="s">
        <v>514</v>
      </c>
      <c r="I115" s="1" t="s">
        <v>515</v>
      </c>
      <c r="J115" s="1" t="s">
        <v>134</v>
      </c>
      <c r="K115" s="2">
        <v>35984</v>
      </c>
      <c r="L115" s="1" t="s">
        <v>173</v>
      </c>
    </row>
    <row r="116" spans="1:12" x14ac:dyDescent="0.25">
      <c r="A116">
        <v>1998</v>
      </c>
      <c r="B116" s="1" t="s">
        <v>236</v>
      </c>
      <c r="C116" s="1" t="s">
        <v>55</v>
      </c>
      <c r="D116">
        <v>1</v>
      </c>
      <c r="E116">
        <v>1</v>
      </c>
      <c r="F116">
        <f>wc_all_matches[[#This Row],[score1]]+wc_all_matches[[#This Row],[score2]]</f>
        <v>2</v>
      </c>
      <c r="G116" s="1" t="s">
        <v>100</v>
      </c>
      <c r="H116" s="1" t="s">
        <v>525</v>
      </c>
      <c r="I116" s="1" t="s">
        <v>526</v>
      </c>
      <c r="J116" s="1" t="s">
        <v>134</v>
      </c>
      <c r="K116" s="2">
        <v>35983</v>
      </c>
      <c r="L116" s="1" t="s">
        <v>528</v>
      </c>
    </row>
    <row r="117" spans="1:12" x14ac:dyDescent="0.25">
      <c r="A117">
        <v>1998</v>
      </c>
      <c r="B117" s="1" t="s">
        <v>242</v>
      </c>
      <c r="C117" s="1" t="s">
        <v>166</v>
      </c>
      <c r="D117">
        <v>2</v>
      </c>
      <c r="E117">
        <v>1</v>
      </c>
      <c r="F117">
        <f>wc_all_matches[[#This Row],[score1]]+wc_all_matches[[#This Row],[score2]]</f>
        <v>3</v>
      </c>
      <c r="G117" s="1" t="s">
        <v>100</v>
      </c>
      <c r="H117" s="1" t="s">
        <v>529</v>
      </c>
      <c r="I117" s="1" t="s">
        <v>328</v>
      </c>
      <c r="J117" s="1" t="s">
        <v>134</v>
      </c>
      <c r="K117" s="2">
        <v>35987</v>
      </c>
      <c r="L117" s="1" t="s">
        <v>173</v>
      </c>
    </row>
    <row r="118" spans="1:12" x14ac:dyDescent="0.25">
      <c r="A118">
        <v>1998</v>
      </c>
      <c r="B118" s="1" t="s">
        <v>243</v>
      </c>
      <c r="C118" s="1" t="s">
        <v>134</v>
      </c>
      <c r="D118">
        <v>3</v>
      </c>
      <c r="E118">
        <v>0</v>
      </c>
      <c r="F118">
        <f>wc_all_matches[[#This Row],[score1]]+wc_all_matches[[#This Row],[score2]]</f>
        <v>3</v>
      </c>
      <c r="G118" s="1" t="s">
        <v>55</v>
      </c>
      <c r="H118" s="1" t="s">
        <v>514</v>
      </c>
      <c r="I118" s="1" t="s">
        <v>515</v>
      </c>
      <c r="J118" s="1" t="s">
        <v>134</v>
      </c>
      <c r="K118" s="2">
        <v>35988</v>
      </c>
      <c r="L118" s="1" t="s">
        <v>530</v>
      </c>
    </row>
    <row r="119" spans="1:12" x14ac:dyDescent="0.25">
      <c r="A119">
        <v>2002</v>
      </c>
      <c r="B119" s="1" t="s">
        <v>16</v>
      </c>
      <c r="C119" s="1" t="s">
        <v>135</v>
      </c>
      <c r="D119">
        <v>1</v>
      </c>
      <c r="E119">
        <v>0</v>
      </c>
      <c r="F119">
        <f>wc_all_matches[[#This Row],[score1]]+wc_all_matches[[#This Row],[score2]]</f>
        <v>1</v>
      </c>
      <c r="G119" s="1" t="s">
        <v>134</v>
      </c>
      <c r="H119" s="1" t="s">
        <v>531</v>
      </c>
      <c r="I119" s="1" t="s">
        <v>532</v>
      </c>
      <c r="J119" s="1" t="s">
        <v>26</v>
      </c>
      <c r="K119" s="2">
        <v>37407</v>
      </c>
      <c r="L119" s="1" t="s">
        <v>533</v>
      </c>
    </row>
    <row r="120" spans="1:12" x14ac:dyDescent="0.25">
      <c r="A120">
        <v>2002</v>
      </c>
      <c r="B120" s="1" t="s">
        <v>16</v>
      </c>
      <c r="C120" s="1" t="s">
        <v>26</v>
      </c>
      <c r="D120">
        <v>2</v>
      </c>
      <c r="E120">
        <v>0</v>
      </c>
      <c r="F120">
        <f>wc_all_matches[[#This Row],[score1]]+wc_all_matches[[#This Row],[score2]]</f>
        <v>2</v>
      </c>
      <c r="G120" s="1" t="s">
        <v>156</v>
      </c>
      <c r="H120" s="1" t="s">
        <v>534</v>
      </c>
      <c r="I120" s="1" t="s">
        <v>535</v>
      </c>
      <c r="J120" s="1" t="s">
        <v>26</v>
      </c>
      <c r="K120" s="2">
        <v>37421</v>
      </c>
      <c r="L120" s="1" t="s">
        <v>173</v>
      </c>
    </row>
    <row r="121" spans="1:12" x14ac:dyDescent="0.25">
      <c r="A121">
        <v>2002</v>
      </c>
      <c r="B121" s="1" t="s">
        <v>210</v>
      </c>
      <c r="C121" s="1" t="s">
        <v>26</v>
      </c>
      <c r="D121">
        <v>2</v>
      </c>
      <c r="E121">
        <v>1</v>
      </c>
      <c r="F121">
        <f>wc_all_matches[[#This Row],[score1]]+wc_all_matches[[#This Row],[score2]]</f>
        <v>3</v>
      </c>
      <c r="G121" s="1" t="s">
        <v>321</v>
      </c>
      <c r="H121" s="1" t="s">
        <v>536</v>
      </c>
      <c r="I121" s="1" t="s">
        <v>537</v>
      </c>
      <c r="J121" s="1" t="s">
        <v>26</v>
      </c>
      <c r="K121" s="2">
        <v>37425</v>
      </c>
      <c r="L121" s="1" t="s">
        <v>538</v>
      </c>
    </row>
    <row r="122" spans="1:12" x14ac:dyDescent="0.25">
      <c r="A122">
        <v>2002</v>
      </c>
      <c r="B122" s="1" t="s">
        <v>227</v>
      </c>
      <c r="C122" s="1" t="s">
        <v>26</v>
      </c>
      <c r="D122">
        <v>0</v>
      </c>
      <c r="E122">
        <v>0</v>
      </c>
      <c r="F122">
        <f>wc_all_matches[[#This Row],[score1]]+wc_all_matches[[#This Row],[score2]]</f>
        <v>0</v>
      </c>
      <c r="G122" s="1" t="s">
        <v>123</v>
      </c>
      <c r="H122" s="1" t="s">
        <v>539</v>
      </c>
      <c r="I122" s="1" t="s">
        <v>540</v>
      </c>
      <c r="J122" s="1" t="s">
        <v>26</v>
      </c>
      <c r="K122" s="2">
        <v>37429</v>
      </c>
      <c r="L122" s="1" t="s">
        <v>541</v>
      </c>
    </row>
    <row r="123" spans="1:12" x14ac:dyDescent="0.25">
      <c r="A123">
        <v>2002</v>
      </c>
      <c r="B123" s="1" t="s">
        <v>227</v>
      </c>
      <c r="C123" s="1" t="s">
        <v>55</v>
      </c>
      <c r="D123">
        <v>2</v>
      </c>
      <c r="E123">
        <v>1</v>
      </c>
      <c r="F123">
        <f>wc_all_matches[[#This Row],[score1]]+wc_all_matches[[#This Row],[score2]]</f>
        <v>3</v>
      </c>
      <c r="G123" s="1" t="s">
        <v>165</v>
      </c>
      <c r="H123" s="1" t="s">
        <v>542</v>
      </c>
      <c r="I123" s="1" t="s">
        <v>543</v>
      </c>
      <c r="J123" s="1" t="s">
        <v>101</v>
      </c>
      <c r="K123" s="2">
        <v>37428</v>
      </c>
      <c r="L123" s="1" t="s">
        <v>544</v>
      </c>
    </row>
    <row r="124" spans="1:12" x14ac:dyDescent="0.25">
      <c r="A124">
        <v>2002</v>
      </c>
      <c r="B124" s="1" t="s">
        <v>236</v>
      </c>
      <c r="C124" s="1" t="s">
        <v>55</v>
      </c>
      <c r="D124">
        <v>1</v>
      </c>
      <c r="E124">
        <v>0</v>
      </c>
      <c r="F124">
        <f>wc_all_matches[[#This Row],[score1]]+wc_all_matches[[#This Row],[score2]]</f>
        <v>1</v>
      </c>
      <c r="G124" s="1" t="s">
        <v>359</v>
      </c>
      <c r="H124" s="1" t="s">
        <v>545</v>
      </c>
      <c r="I124" s="1" t="s">
        <v>546</v>
      </c>
      <c r="J124" s="1" t="s">
        <v>101</v>
      </c>
      <c r="K124" s="2">
        <v>37433</v>
      </c>
      <c r="L124" s="1" t="s">
        <v>173</v>
      </c>
    </row>
    <row r="125" spans="1:12" x14ac:dyDescent="0.25">
      <c r="A125">
        <v>2002</v>
      </c>
      <c r="B125" s="1" t="s">
        <v>236</v>
      </c>
      <c r="C125" s="1" t="s">
        <v>85</v>
      </c>
      <c r="D125">
        <v>1</v>
      </c>
      <c r="E125">
        <v>0</v>
      </c>
      <c r="F125">
        <f>wc_all_matches[[#This Row],[score1]]+wc_all_matches[[#This Row],[score2]]</f>
        <v>1</v>
      </c>
      <c r="G125" s="1" t="s">
        <v>26</v>
      </c>
      <c r="H125" s="1" t="s">
        <v>531</v>
      </c>
      <c r="I125" s="1" t="s">
        <v>532</v>
      </c>
      <c r="J125" s="1" t="s">
        <v>26</v>
      </c>
      <c r="K125" s="2">
        <v>37432</v>
      </c>
      <c r="L125" s="1" t="s">
        <v>173</v>
      </c>
    </row>
    <row r="126" spans="1:12" x14ac:dyDescent="0.25">
      <c r="A126">
        <v>2002</v>
      </c>
      <c r="B126" s="1" t="s">
        <v>242</v>
      </c>
      <c r="C126" s="1" t="s">
        <v>359</v>
      </c>
      <c r="D126">
        <v>3</v>
      </c>
      <c r="E126">
        <v>2</v>
      </c>
      <c r="F126">
        <f>wc_all_matches[[#This Row],[score1]]+wc_all_matches[[#This Row],[score2]]</f>
        <v>5</v>
      </c>
      <c r="G126" s="1" t="s">
        <v>26</v>
      </c>
      <c r="H126" s="1" t="s">
        <v>547</v>
      </c>
      <c r="I126" s="1" t="s">
        <v>548</v>
      </c>
      <c r="J126" s="1" t="s">
        <v>26</v>
      </c>
      <c r="K126" s="2">
        <v>37436</v>
      </c>
      <c r="L126" s="1" t="s">
        <v>173</v>
      </c>
    </row>
    <row r="127" spans="1:12" x14ac:dyDescent="0.25">
      <c r="A127">
        <v>2002</v>
      </c>
      <c r="B127" s="1" t="s">
        <v>243</v>
      </c>
      <c r="C127" s="1" t="s">
        <v>55</v>
      </c>
      <c r="D127">
        <v>2</v>
      </c>
      <c r="E127">
        <v>0</v>
      </c>
      <c r="F127">
        <f>wc_all_matches[[#This Row],[score1]]+wc_all_matches[[#This Row],[score2]]</f>
        <v>2</v>
      </c>
      <c r="G127" s="1" t="s">
        <v>85</v>
      </c>
      <c r="H127" s="1" t="s">
        <v>549</v>
      </c>
      <c r="I127" s="1" t="s">
        <v>361</v>
      </c>
      <c r="J127" s="1" t="s">
        <v>101</v>
      </c>
      <c r="K127" s="2">
        <v>37437</v>
      </c>
      <c r="L127" s="1" t="s">
        <v>550</v>
      </c>
    </row>
    <row r="128" spans="1:12" x14ac:dyDescent="0.25">
      <c r="A128">
        <v>2006</v>
      </c>
      <c r="B128" s="1" t="s">
        <v>16</v>
      </c>
      <c r="C128" s="1" t="s">
        <v>85</v>
      </c>
      <c r="D128">
        <v>4</v>
      </c>
      <c r="E128">
        <v>2</v>
      </c>
      <c r="F128">
        <f>wc_all_matches[[#This Row],[score1]]+wc_all_matches[[#This Row],[score2]]</f>
        <v>6</v>
      </c>
      <c r="G128" s="1" t="s">
        <v>551</v>
      </c>
      <c r="H128" s="1" t="s">
        <v>552</v>
      </c>
      <c r="I128" s="1" t="s">
        <v>347</v>
      </c>
      <c r="J128" s="1" t="s">
        <v>85</v>
      </c>
      <c r="K128" s="2">
        <v>38877</v>
      </c>
      <c r="L128" s="1" t="s">
        <v>553</v>
      </c>
    </row>
    <row r="129" spans="1:12" x14ac:dyDescent="0.25">
      <c r="A129">
        <v>2006</v>
      </c>
      <c r="B129" s="1" t="s">
        <v>16</v>
      </c>
      <c r="C129" s="1" t="s">
        <v>74</v>
      </c>
      <c r="D129">
        <v>3</v>
      </c>
      <c r="E129">
        <v>1</v>
      </c>
      <c r="F129">
        <f>wc_all_matches[[#This Row],[score1]]+wc_all_matches[[#This Row],[score2]]</f>
        <v>4</v>
      </c>
      <c r="G129" s="1" t="s">
        <v>101</v>
      </c>
      <c r="H129" s="1" t="s">
        <v>554</v>
      </c>
      <c r="I129" s="1" t="s">
        <v>555</v>
      </c>
      <c r="J129" s="1" t="s">
        <v>85</v>
      </c>
      <c r="K129" s="2">
        <v>38880</v>
      </c>
      <c r="L129" s="1" t="s">
        <v>173</v>
      </c>
    </row>
    <row r="130" spans="1:12" x14ac:dyDescent="0.25">
      <c r="A130">
        <v>2006</v>
      </c>
      <c r="B130" s="1" t="s">
        <v>210</v>
      </c>
      <c r="C130" s="1" t="s">
        <v>321</v>
      </c>
      <c r="D130">
        <v>1</v>
      </c>
      <c r="E130">
        <v>0</v>
      </c>
      <c r="F130">
        <f>wc_all_matches[[#This Row],[score1]]+wc_all_matches[[#This Row],[score2]]</f>
        <v>1</v>
      </c>
      <c r="G130" s="1" t="s">
        <v>74</v>
      </c>
      <c r="H130" s="1" t="s">
        <v>554</v>
      </c>
      <c r="I130" s="1" t="s">
        <v>555</v>
      </c>
      <c r="J130" s="1" t="s">
        <v>85</v>
      </c>
      <c r="K130" s="2">
        <v>38894</v>
      </c>
      <c r="L130" s="1" t="s">
        <v>556</v>
      </c>
    </row>
    <row r="131" spans="1:12" x14ac:dyDescent="0.25">
      <c r="A131">
        <v>2006</v>
      </c>
      <c r="B131" s="1" t="s">
        <v>210</v>
      </c>
      <c r="C131" s="1" t="s">
        <v>156</v>
      </c>
      <c r="D131">
        <v>1</v>
      </c>
      <c r="E131">
        <v>0</v>
      </c>
      <c r="F131">
        <f>wc_all_matches[[#This Row],[score1]]+wc_all_matches[[#This Row],[score2]]</f>
        <v>1</v>
      </c>
      <c r="G131" s="1" t="s">
        <v>100</v>
      </c>
      <c r="H131" s="1" t="s">
        <v>552</v>
      </c>
      <c r="I131" s="1" t="s">
        <v>557</v>
      </c>
      <c r="J131" s="1" t="s">
        <v>85</v>
      </c>
      <c r="K131" s="2">
        <v>38893</v>
      </c>
      <c r="L131" s="1" t="s">
        <v>558</v>
      </c>
    </row>
    <row r="132" spans="1:12" x14ac:dyDescent="0.25">
      <c r="A132">
        <v>2006</v>
      </c>
      <c r="B132" s="1" t="s">
        <v>227</v>
      </c>
      <c r="C132" s="1" t="s">
        <v>321</v>
      </c>
      <c r="D132">
        <v>3</v>
      </c>
      <c r="E132">
        <v>0</v>
      </c>
      <c r="F132">
        <f>wc_all_matches[[#This Row],[score1]]+wc_all_matches[[#This Row],[score2]]</f>
        <v>3</v>
      </c>
      <c r="G132" s="1" t="s">
        <v>559</v>
      </c>
      <c r="H132" s="1" t="s">
        <v>449</v>
      </c>
      <c r="I132" s="1" t="s">
        <v>447</v>
      </c>
      <c r="J132" s="1" t="s">
        <v>85</v>
      </c>
      <c r="K132" s="2">
        <v>38898</v>
      </c>
      <c r="L132" s="1" t="s">
        <v>560</v>
      </c>
    </row>
    <row r="133" spans="1:12" x14ac:dyDescent="0.25">
      <c r="A133">
        <v>2006</v>
      </c>
      <c r="B133" s="1" t="s">
        <v>227</v>
      </c>
      <c r="C133" s="1" t="s">
        <v>85</v>
      </c>
      <c r="D133">
        <v>1</v>
      </c>
      <c r="E133">
        <v>1</v>
      </c>
      <c r="F133">
        <f>wc_all_matches[[#This Row],[score1]]+wc_all_matches[[#This Row],[score2]]</f>
        <v>2</v>
      </c>
      <c r="G133" s="1" t="s">
        <v>144</v>
      </c>
      <c r="H133" s="1" t="s">
        <v>449</v>
      </c>
      <c r="I133" s="1" t="s">
        <v>363</v>
      </c>
      <c r="J133" s="1" t="s">
        <v>85</v>
      </c>
      <c r="K133" s="2">
        <v>38898</v>
      </c>
      <c r="L133" s="1" t="s">
        <v>561</v>
      </c>
    </row>
    <row r="134" spans="1:12" x14ac:dyDescent="0.25">
      <c r="A134">
        <v>2006</v>
      </c>
      <c r="B134" s="1" t="s">
        <v>236</v>
      </c>
      <c r="C134" s="1" t="s">
        <v>321</v>
      </c>
      <c r="D134">
        <v>2</v>
      </c>
      <c r="E134">
        <v>0</v>
      </c>
      <c r="F134">
        <f>wc_all_matches[[#This Row],[score1]]+wc_all_matches[[#This Row],[score2]]</f>
        <v>2</v>
      </c>
      <c r="G134" s="1" t="s">
        <v>85</v>
      </c>
      <c r="H134" s="1" t="s">
        <v>562</v>
      </c>
      <c r="I134" s="1" t="s">
        <v>452</v>
      </c>
      <c r="J134" s="1" t="s">
        <v>85</v>
      </c>
      <c r="K134" s="2">
        <v>38902</v>
      </c>
      <c r="L134" s="1" t="s">
        <v>563</v>
      </c>
    </row>
    <row r="135" spans="1:12" x14ac:dyDescent="0.25">
      <c r="A135">
        <v>2006</v>
      </c>
      <c r="B135" s="1" t="s">
        <v>236</v>
      </c>
      <c r="C135" s="1" t="s">
        <v>156</v>
      </c>
      <c r="D135">
        <v>0</v>
      </c>
      <c r="E135">
        <v>1</v>
      </c>
      <c r="F135">
        <f>wc_all_matches[[#This Row],[score1]]+wc_all_matches[[#This Row],[score2]]</f>
        <v>1</v>
      </c>
      <c r="G135" s="1" t="s">
        <v>134</v>
      </c>
      <c r="H135" s="1" t="s">
        <v>552</v>
      </c>
      <c r="I135" s="1" t="s">
        <v>347</v>
      </c>
      <c r="J135" s="1" t="s">
        <v>85</v>
      </c>
      <c r="K135" s="2">
        <v>38903</v>
      </c>
      <c r="L135" s="1" t="s">
        <v>564</v>
      </c>
    </row>
    <row r="136" spans="1:12" x14ac:dyDescent="0.25">
      <c r="A136">
        <v>2006</v>
      </c>
      <c r="B136" s="1" t="s">
        <v>242</v>
      </c>
      <c r="C136" s="1" t="s">
        <v>85</v>
      </c>
      <c r="D136">
        <v>3</v>
      </c>
      <c r="E136">
        <v>1</v>
      </c>
      <c r="F136">
        <f>wc_all_matches[[#This Row],[score1]]+wc_all_matches[[#This Row],[score2]]</f>
        <v>4</v>
      </c>
      <c r="G136" s="1" t="s">
        <v>156</v>
      </c>
      <c r="H136" s="1" t="s">
        <v>565</v>
      </c>
      <c r="I136" s="1" t="s">
        <v>566</v>
      </c>
      <c r="J136" s="1" t="s">
        <v>85</v>
      </c>
      <c r="K136" s="2">
        <v>38906</v>
      </c>
      <c r="L136" s="1" t="s">
        <v>173</v>
      </c>
    </row>
    <row r="137" spans="1:12" x14ac:dyDescent="0.25">
      <c r="A137">
        <v>2006</v>
      </c>
      <c r="B137" s="1" t="s">
        <v>243</v>
      </c>
      <c r="C137" s="1" t="s">
        <v>321</v>
      </c>
      <c r="D137">
        <v>1</v>
      </c>
      <c r="E137">
        <v>1</v>
      </c>
      <c r="F137">
        <f>wc_all_matches[[#This Row],[score1]]+wc_all_matches[[#This Row],[score2]]</f>
        <v>2</v>
      </c>
      <c r="G137" s="1" t="s">
        <v>134</v>
      </c>
      <c r="H137" s="1" t="s">
        <v>449</v>
      </c>
      <c r="I137" s="1" t="s">
        <v>363</v>
      </c>
      <c r="J137" s="1" t="s">
        <v>85</v>
      </c>
      <c r="K137" s="2">
        <v>38907</v>
      </c>
      <c r="L137" s="1" t="s">
        <v>567</v>
      </c>
    </row>
    <row r="138" spans="1:12" x14ac:dyDescent="0.25">
      <c r="A138">
        <v>2010</v>
      </c>
      <c r="B138" s="1" t="s">
        <v>16</v>
      </c>
      <c r="C138" s="1" t="s">
        <v>18</v>
      </c>
      <c r="D138">
        <v>1</v>
      </c>
      <c r="E138">
        <v>1</v>
      </c>
      <c r="F138">
        <f>wc_all_matches[[#This Row],[score1]]+wc_all_matches[[#This Row],[score2]]</f>
        <v>2</v>
      </c>
      <c r="G138" s="1" t="s">
        <v>17</v>
      </c>
      <c r="H138" s="1" t="s">
        <v>568</v>
      </c>
      <c r="I138" s="1" t="s">
        <v>365</v>
      </c>
      <c r="J138" s="1" t="s">
        <v>18</v>
      </c>
      <c r="K138" s="2">
        <v>40340</v>
      </c>
      <c r="L138" s="1" t="s">
        <v>569</v>
      </c>
    </row>
    <row r="139" spans="1:12" x14ac:dyDescent="0.25">
      <c r="A139">
        <v>2010</v>
      </c>
      <c r="B139" s="1" t="s">
        <v>16</v>
      </c>
      <c r="C139" s="1" t="s">
        <v>165</v>
      </c>
      <c r="D139">
        <v>1</v>
      </c>
      <c r="E139">
        <v>1</v>
      </c>
      <c r="F139">
        <f>wc_all_matches[[#This Row],[score1]]+wc_all_matches[[#This Row],[score2]]</f>
        <v>2</v>
      </c>
      <c r="G139" s="1" t="s">
        <v>49</v>
      </c>
      <c r="H139" s="1" t="s">
        <v>570</v>
      </c>
      <c r="I139" s="1" t="s">
        <v>571</v>
      </c>
      <c r="J139" s="1" t="s">
        <v>18</v>
      </c>
      <c r="K139" s="2">
        <v>40341</v>
      </c>
      <c r="L139" s="1" t="s">
        <v>572</v>
      </c>
    </row>
    <row r="140" spans="1:12" x14ac:dyDescent="0.25">
      <c r="A140">
        <v>2010</v>
      </c>
      <c r="B140" s="1" t="s">
        <v>16</v>
      </c>
      <c r="C140" s="1" t="s">
        <v>85</v>
      </c>
      <c r="D140">
        <v>4</v>
      </c>
      <c r="E140">
        <v>0</v>
      </c>
      <c r="F140">
        <f>wc_all_matches[[#This Row],[score1]]+wc_all_matches[[#This Row],[score2]]</f>
        <v>4</v>
      </c>
      <c r="G140" s="1" t="s">
        <v>74</v>
      </c>
      <c r="H140" s="1" t="s">
        <v>573</v>
      </c>
      <c r="I140" s="1" t="s">
        <v>574</v>
      </c>
      <c r="J140" s="1" t="s">
        <v>18</v>
      </c>
      <c r="K140" s="2">
        <v>40342</v>
      </c>
      <c r="L140" s="1" t="s">
        <v>173</v>
      </c>
    </row>
    <row r="141" spans="1:12" x14ac:dyDescent="0.25">
      <c r="A141">
        <v>2010</v>
      </c>
      <c r="B141" s="1" t="s">
        <v>210</v>
      </c>
      <c r="C141" s="1" t="s">
        <v>49</v>
      </c>
      <c r="D141">
        <v>1</v>
      </c>
      <c r="E141">
        <v>2</v>
      </c>
      <c r="F141">
        <f>wc_all_matches[[#This Row],[score1]]+wc_all_matches[[#This Row],[score2]]</f>
        <v>3</v>
      </c>
      <c r="G141" s="1" t="s">
        <v>169</v>
      </c>
      <c r="H141" s="1" t="s">
        <v>570</v>
      </c>
      <c r="I141" s="1" t="s">
        <v>571</v>
      </c>
      <c r="J141" s="1" t="s">
        <v>18</v>
      </c>
      <c r="K141" s="2">
        <v>40355</v>
      </c>
      <c r="L141" s="1" t="s">
        <v>387</v>
      </c>
    </row>
    <row r="142" spans="1:12" x14ac:dyDescent="0.25">
      <c r="A142">
        <v>2010</v>
      </c>
      <c r="B142" s="1" t="s">
        <v>210</v>
      </c>
      <c r="C142" s="1" t="s">
        <v>165</v>
      </c>
      <c r="D142">
        <v>1</v>
      </c>
      <c r="E142">
        <v>4</v>
      </c>
      <c r="F142">
        <f>wc_all_matches[[#This Row],[score1]]+wc_all_matches[[#This Row],[score2]]</f>
        <v>5</v>
      </c>
      <c r="G142" s="1" t="s">
        <v>85</v>
      </c>
      <c r="H142" s="1" t="s">
        <v>575</v>
      </c>
      <c r="I142" s="1" t="s">
        <v>576</v>
      </c>
      <c r="J142" s="1" t="s">
        <v>18</v>
      </c>
      <c r="K142" s="2">
        <v>40356</v>
      </c>
      <c r="L142" s="1" t="s">
        <v>577</v>
      </c>
    </row>
    <row r="143" spans="1:12" x14ac:dyDescent="0.25">
      <c r="A143">
        <v>2010</v>
      </c>
      <c r="B143" s="1" t="s">
        <v>227</v>
      </c>
      <c r="C143" s="1" t="s">
        <v>144</v>
      </c>
      <c r="D143">
        <v>0</v>
      </c>
      <c r="E143">
        <v>4</v>
      </c>
      <c r="F143">
        <f>wc_all_matches[[#This Row],[score1]]+wc_all_matches[[#This Row],[score2]]</f>
        <v>4</v>
      </c>
      <c r="G143" s="1" t="s">
        <v>85</v>
      </c>
      <c r="H143" s="1" t="s">
        <v>578</v>
      </c>
      <c r="I143" s="1" t="s">
        <v>579</v>
      </c>
      <c r="J143" s="1" t="s">
        <v>18</v>
      </c>
      <c r="K143" s="2">
        <v>40362</v>
      </c>
      <c r="L143" s="1" t="s">
        <v>173</v>
      </c>
    </row>
    <row r="144" spans="1:12" x14ac:dyDescent="0.25">
      <c r="A144">
        <v>2010</v>
      </c>
      <c r="B144" s="1" t="s">
        <v>227</v>
      </c>
      <c r="C144" s="1" t="s">
        <v>100</v>
      </c>
      <c r="D144">
        <v>2</v>
      </c>
      <c r="E144">
        <v>1</v>
      </c>
      <c r="F144">
        <f>wc_all_matches[[#This Row],[score1]]+wc_all_matches[[#This Row],[score2]]</f>
        <v>3</v>
      </c>
      <c r="G144" s="1" t="s">
        <v>55</v>
      </c>
      <c r="H144" s="1" t="s">
        <v>580</v>
      </c>
      <c r="I144" s="1" t="s">
        <v>581</v>
      </c>
      <c r="J144" s="1" t="s">
        <v>18</v>
      </c>
      <c r="K144" s="2">
        <v>40361</v>
      </c>
      <c r="L144" s="1" t="s">
        <v>582</v>
      </c>
    </row>
    <row r="145" spans="1:12" x14ac:dyDescent="0.25">
      <c r="A145">
        <v>2010</v>
      </c>
      <c r="B145" s="1" t="s">
        <v>236</v>
      </c>
      <c r="C145" s="1" t="s">
        <v>100</v>
      </c>
      <c r="D145">
        <v>3</v>
      </c>
      <c r="E145">
        <v>2</v>
      </c>
      <c r="F145">
        <f>wc_all_matches[[#This Row],[score1]]+wc_all_matches[[#This Row],[score2]]</f>
        <v>5</v>
      </c>
      <c r="G145" s="1" t="s">
        <v>128</v>
      </c>
      <c r="H145" s="1" t="s">
        <v>578</v>
      </c>
      <c r="I145" s="1" t="s">
        <v>579</v>
      </c>
      <c r="J145" s="1" t="s">
        <v>18</v>
      </c>
      <c r="K145" s="2">
        <v>40365</v>
      </c>
      <c r="L145" s="1" t="s">
        <v>173</v>
      </c>
    </row>
    <row r="146" spans="1:12" x14ac:dyDescent="0.25">
      <c r="A146">
        <v>2010</v>
      </c>
      <c r="B146" s="1" t="s">
        <v>236</v>
      </c>
      <c r="C146" s="1" t="s">
        <v>123</v>
      </c>
      <c r="D146">
        <v>1</v>
      </c>
      <c r="E146">
        <v>0</v>
      </c>
      <c r="F146">
        <f>wc_all_matches[[#This Row],[score1]]+wc_all_matches[[#This Row],[score2]]</f>
        <v>1</v>
      </c>
      <c r="G146" s="1" t="s">
        <v>85</v>
      </c>
      <c r="H146" s="1" t="s">
        <v>573</v>
      </c>
      <c r="I146" s="1" t="s">
        <v>574</v>
      </c>
      <c r="J146" s="1" t="s">
        <v>18</v>
      </c>
      <c r="K146" s="2">
        <v>40366</v>
      </c>
      <c r="L146" s="1" t="s">
        <v>583</v>
      </c>
    </row>
    <row r="147" spans="1:12" x14ac:dyDescent="0.25">
      <c r="A147">
        <v>2010</v>
      </c>
      <c r="B147" s="1" t="s">
        <v>242</v>
      </c>
      <c r="C147" s="1" t="s">
        <v>128</v>
      </c>
      <c r="D147">
        <v>2</v>
      </c>
      <c r="E147">
        <v>3</v>
      </c>
      <c r="F147">
        <f>wc_all_matches[[#This Row],[score1]]+wc_all_matches[[#This Row],[score2]]</f>
        <v>5</v>
      </c>
      <c r="G147" s="1" t="s">
        <v>85</v>
      </c>
      <c r="H147" s="1" t="s">
        <v>580</v>
      </c>
      <c r="I147" s="1" t="s">
        <v>581</v>
      </c>
      <c r="J147" s="1" t="s">
        <v>18</v>
      </c>
      <c r="K147" s="2">
        <v>40369</v>
      </c>
      <c r="L147" s="1" t="s">
        <v>584</v>
      </c>
    </row>
    <row r="148" spans="1:12" x14ac:dyDescent="0.25">
      <c r="A148">
        <v>2010</v>
      </c>
      <c r="B148" s="1" t="s">
        <v>243</v>
      </c>
      <c r="C148" s="1" t="s">
        <v>123</v>
      </c>
      <c r="D148">
        <v>1</v>
      </c>
      <c r="E148">
        <v>0</v>
      </c>
      <c r="F148">
        <f>wc_all_matches[[#This Row],[score1]]+wc_all_matches[[#This Row],[score2]]</f>
        <v>1</v>
      </c>
      <c r="G148" s="1" t="s">
        <v>100</v>
      </c>
      <c r="H148" s="1" t="s">
        <v>568</v>
      </c>
      <c r="I148" s="1" t="s">
        <v>365</v>
      </c>
      <c r="J148" s="1" t="s">
        <v>18</v>
      </c>
      <c r="K148" s="2">
        <v>40370</v>
      </c>
      <c r="L148" s="1" t="s">
        <v>585</v>
      </c>
    </row>
    <row r="149" spans="1:12" x14ac:dyDescent="0.25">
      <c r="A149">
        <v>2014</v>
      </c>
      <c r="B149" s="1" t="s">
        <v>16</v>
      </c>
      <c r="C149" s="1" t="s">
        <v>55</v>
      </c>
      <c r="D149">
        <v>3</v>
      </c>
      <c r="E149">
        <v>1</v>
      </c>
      <c r="F149">
        <f>wc_all_matches[[#This Row],[score1]]+wc_all_matches[[#This Row],[score2]]</f>
        <v>4</v>
      </c>
      <c r="G149" s="1" t="s">
        <v>166</v>
      </c>
      <c r="H149" s="1" t="s">
        <v>586</v>
      </c>
      <c r="I149" s="1" t="s">
        <v>403</v>
      </c>
      <c r="J149" s="1" t="s">
        <v>55</v>
      </c>
      <c r="K149" s="2">
        <v>41802</v>
      </c>
      <c r="L149" s="1" t="s">
        <v>587</v>
      </c>
    </row>
    <row r="150" spans="1:12" x14ac:dyDescent="0.25">
      <c r="A150">
        <v>2014</v>
      </c>
      <c r="B150" s="1" t="s">
        <v>16</v>
      </c>
      <c r="C150" s="1" t="s">
        <v>123</v>
      </c>
      <c r="D150">
        <v>1</v>
      </c>
      <c r="E150">
        <v>5</v>
      </c>
      <c r="F150">
        <f>wc_all_matches[[#This Row],[score1]]+wc_all_matches[[#This Row],[score2]]</f>
        <v>6</v>
      </c>
      <c r="G150" s="1" t="s">
        <v>100</v>
      </c>
      <c r="H150" s="1" t="s">
        <v>588</v>
      </c>
      <c r="I150" s="1" t="s">
        <v>589</v>
      </c>
      <c r="J150" s="1" t="s">
        <v>55</v>
      </c>
      <c r="K150" s="2">
        <v>41803</v>
      </c>
      <c r="L150" s="1" t="s">
        <v>590</v>
      </c>
    </row>
    <row r="151" spans="1:12" x14ac:dyDescent="0.25">
      <c r="A151">
        <v>2014</v>
      </c>
      <c r="B151" s="1" t="s">
        <v>16</v>
      </c>
      <c r="C151" s="1" t="s">
        <v>128</v>
      </c>
      <c r="D151">
        <v>2</v>
      </c>
      <c r="E151">
        <v>1</v>
      </c>
      <c r="F151">
        <f>wc_all_matches[[#This Row],[score1]]+wc_all_matches[[#This Row],[score2]]</f>
        <v>3</v>
      </c>
      <c r="G151" s="1" t="s">
        <v>165</v>
      </c>
      <c r="H151" s="1" t="s">
        <v>591</v>
      </c>
      <c r="I151" s="1" t="s">
        <v>403</v>
      </c>
      <c r="J151" s="1" t="s">
        <v>55</v>
      </c>
      <c r="K151" s="2">
        <v>41809</v>
      </c>
      <c r="L151" s="1" t="s">
        <v>592</v>
      </c>
    </row>
    <row r="152" spans="1:12" x14ac:dyDescent="0.25">
      <c r="A152">
        <v>2014</v>
      </c>
      <c r="B152" s="1" t="s">
        <v>210</v>
      </c>
      <c r="C152" s="1" t="s">
        <v>161</v>
      </c>
      <c r="D152">
        <v>2</v>
      </c>
      <c r="E152">
        <v>0</v>
      </c>
      <c r="F152">
        <f>wc_all_matches[[#This Row],[score1]]+wc_all_matches[[#This Row],[score2]]</f>
        <v>2</v>
      </c>
      <c r="G152" s="1" t="s">
        <v>128</v>
      </c>
      <c r="H152" s="1" t="s">
        <v>593</v>
      </c>
      <c r="I152" s="1" t="s">
        <v>330</v>
      </c>
      <c r="J152" s="1" t="s">
        <v>55</v>
      </c>
      <c r="K152" s="2">
        <v>41818</v>
      </c>
      <c r="L152" s="1" t="s">
        <v>594</v>
      </c>
    </row>
    <row r="153" spans="1:12" x14ac:dyDescent="0.25">
      <c r="A153">
        <v>2014</v>
      </c>
      <c r="B153" s="1" t="s">
        <v>210</v>
      </c>
      <c r="C153" s="1" t="s">
        <v>85</v>
      </c>
      <c r="D153">
        <v>2</v>
      </c>
      <c r="E153">
        <v>1</v>
      </c>
      <c r="F153">
        <f>wc_all_matches[[#This Row],[score1]]+wc_all_matches[[#This Row],[score2]]</f>
        <v>3</v>
      </c>
      <c r="G153" s="1" t="s">
        <v>145</v>
      </c>
      <c r="H153" s="1" t="s">
        <v>595</v>
      </c>
      <c r="I153" s="1" t="s">
        <v>596</v>
      </c>
      <c r="J153" s="1" t="s">
        <v>55</v>
      </c>
      <c r="K153" s="2">
        <v>41820</v>
      </c>
      <c r="L153" s="1" t="s">
        <v>387</v>
      </c>
    </row>
    <row r="154" spans="1:12" x14ac:dyDescent="0.25">
      <c r="A154">
        <v>2014</v>
      </c>
      <c r="B154" s="1" t="s">
        <v>227</v>
      </c>
      <c r="C154" s="1" t="s">
        <v>144</v>
      </c>
      <c r="D154">
        <v>0</v>
      </c>
      <c r="E154">
        <v>0</v>
      </c>
      <c r="F154">
        <f>wc_all_matches[[#This Row],[score1]]+wc_all_matches[[#This Row],[score2]]</f>
        <v>0</v>
      </c>
      <c r="G154" s="1" t="s">
        <v>113</v>
      </c>
      <c r="H154" s="1" t="s">
        <v>425</v>
      </c>
      <c r="I154" s="1" t="s">
        <v>597</v>
      </c>
      <c r="J154" s="1" t="s">
        <v>55</v>
      </c>
      <c r="K154" s="2">
        <v>41825</v>
      </c>
      <c r="L154" s="1" t="s">
        <v>598</v>
      </c>
    </row>
    <row r="155" spans="1:12" x14ac:dyDescent="0.25">
      <c r="A155">
        <v>2014</v>
      </c>
      <c r="B155" s="1" t="s">
        <v>227</v>
      </c>
      <c r="C155" s="1" t="s">
        <v>85</v>
      </c>
      <c r="D155">
        <v>1</v>
      </c>
      <c r="E155">
        <v>0</v>
      </c>
      <c r="F155">
        <f>wc_all_matches[[#This Row],[score1]]+wc_all_matches[[#This Row],[score2]]</f>
        <v>1</v>
      </c>
      <c r="G155" s="1" t="s">
        <v>134</v>
      </c>
      <c r="H155" s="1" t="s">
        <v>593</v>
      </c>
      <c r="I155" s="1" t="s">
        <v>330</v>
      </c>
      <c r="J155" s="1" t="s">
        <v>55</v>
      </c>
      <c r="K155" s="2">
        <v>41824</v>
      </c>
      <c r="L155" s="1" t="s">
        <v>599</v>
      </c>
    </row>
    <row r="156" spans="1:12" x14ac:dyDescent="0.25">
      <c r="A156">
        <v>2014</v>
      </c>
      <c r="B156" s="1" t="s">
        <v>236</v>
      </c>
      <c r="C156" s="1" t="s">
        <v>55</v>
      </c>
      <c r="D156">
        <v>1</v>
      </c>
      <c r="E156">
        <v>7</v>
      </c>
      <c r="F156">
        <f>wc_all_matches[[#This Row],[score1]]+wc_all_matches[[#This Row],[score2]]</f>
        <v>8</v>
      </c>
      <c r="G156" s="1" t="s">
        <v>85</v>
      </c>
      <c r="H156" s="1" t="s">
        <v>600</v>
      </c>
      <c r="I156" s="1" t="s">
        <v>400</v>
      </c>
      <c r="J156" s="1" t="s">
        <v>55</v>
      </c>
      <c r="K156" s="2">
        <v>41828</v>
      </c>
      <c r="L156" s="1" t="s">
        <v>601</v>
      </c>
    </row>
    <row r="157" spans="1:12" x14ac:dyDescent="0.25">
      <c r="A157">
        <v>2014</v>
      </c>
      <c r="B157" s="1" t="s">
        <v>236</v>
      </c>
      <c r="C157" s="1" t="s">
        <v>144</v>
      </c>
      <c r="D157">
        <v>0</v>
      </c>
      <c r="E157">
        <v>0</v>
      </c>
      <c r="F157">
        <f>wc_all_matches[[#This Row],[score1]]+wc_all_matches[[#This Row],[score2]]</f>
        <v>0</v>
      </c>
      <c r="G157" s="1" t="s">
        <v>100</v>
      </c>
      <c r="H157" s="1" t="s">
        <v>591</v>
      </c>
      <c r="I157" s="1" t="s">
        <v>403</v>
      </c>
      <c r="J157" s="1" t="s">
        <v>55</v>
      </c>
      <c r="K157" s="2">
        <v>41829</v>
      </c>
      <c r="L157" s="1" t="s">
        <v>602</v>
      </c>
    </row>
    <row r="158" spans="1:12" x14ac:dyDescent="0.25">
      <c r="A158">
        <v>2014</v>
      </c>
      <c r="B158" s="1" t="s">
        <v>242</v>
      </c>
      <c r="C158" s="1" t="s">
        <v>55</v>
      </c>
      <c r="D158">
        <v>0</v>
      </c>
      <c r="E158">
        <v>3</v>
      </c>
      <c r="F158">
        <f>wc_all_matches[[#This Row],[score1]]+wc_all_matches[[#This Row],[score2]]</f>
        <v>3</v>
      </c>
      <c r="G158" s="1" t="s">
        <v>100</v>
      </c>
      <c r="H158" s="1" t="s">
        <v>425</v>
      </c>
      <c r="I158" s="1" t="s">
        <v>597</v>
      </c>
      <c r="J158" s="1" t="s">
        <v>55</v>
      </c>
      <c r="K158" s="2">
        <v>41832</v>
      </c>
      <c r="L158" s="1" t="s">
        <v>173</v>
      </c>
    </row>
    <row r="159" spans="1:12" x14ac:dyDescent="0.25">
      <c r="A159">
        <v>2014</v>
      </c>
      <c r="B159" s="1" t="s">
        <v>243</v>
      </c>
      <c r="C159" s="1" t="s">
        <v>85</v>
      </c>
      <c r="D159">
        <v>1</v>
      </c>
      <c r="E159">
        <v>0</v>
      </c>
      <c r="F159">
        <f>wc_all_matches[[#This Row],[score1]]+wc_all_matches[[#This Row],[score2]]</f>
        <v>1</v>
      </c>
      <c r="G159" s="1" t="s">
        <v>144</v>
      </c>
      <c r="H159" s="1" t="s">
        <v>593</v>
      </c>
      <c r="I159" s="1" t="s">
        <v>330</v>
      </c>
      <c r="J159" s="1" t="s">
        <v>55</v>
      </c>
      <c r="K159" s="2">
        <v>41833</v>
      </c>
      <c r="L159" s="1" t="s">
        <v>603</v>
      </c>
    </row>
    <row r="160" spans="1:12" x14ac:dyDescent="0.25">
      <c r="A160">
        <v>2018</v>
      </c>
      <c r="B160" s="1" t="s">
        <v>16</v>
      </c>
      <c r="C160" s="1" t="s">
        <v>367</v>
      </c>
      <c r="D160">
        <v>5</v>
      </c>
      <c r="E160">
        <v>0</v>
      </c>
      <c r="F160">
        <f>wc_all_matches[[#This Row],[score1]]+wc_all_matches[[#This Row],[score2]]</f>
        <v>5</v>
      </c>
      <c r="G160" s="1" t="s">
        <v>127</v>
      </c>
      <c r="H160" s="1" t="s">
        <v>604</v>
      </c>
      <c r="I160" s="1" t="s">
        <v>369</v>
      </c>
      <c r="J160" s="1" t="s">
        <v>367</v>
      </c>
      <c r="K160" s="2">
        <v>43265</v>
      </c>
      <c r="L160" s="1" t="s">
        <v>553</v>
      </c>
    </row>
    <row r="161" spans="1:12" x14ac:dyDescent="0.25">
      <c r="A161">
        <v>2018</v>
      </c>
      <c r="B161" s="1" t="s">
        <v>16</v>
      </c>
      <c r="C161" s="1" t="s">
        <v>85</v>
      </c>
      <c r="D161">
        <v>0</v>
      </c>
      <c r="E161">
        <v>1</v>
      </c>
      <c r="F161">
        <f>wc_all_matches[[#This Row],[score1]]+wc_all_matches[[#This Row],[score2]]</f>
        <v>1</v>
      </c>
      <c r="G161" s="1" t="s">
        <v>17</v>
      </c>
      <c r="H161" s="1" t="s">
        <v>604</v>
      </c>
      <c r="I161" s="1" t="s">
        <v>369</v>
      </c>
      <c r="J161" s="1" t="s">
        <v>367</v>
      </c>
      <c r="K161" s="2">
        <v>43268</v>
      </c>
      <c r="L161" s="1" t="s">
        <v>605</v>
      </c>
    </row>
    <row r="162" spans="1:12" x14ac:dyDescent="0.25">
      <c r="A162">
        <v>2018</v>
      </c>
      <c r="B162" s="1" t="s">
        <v>16</v>
      </c>
      <c r="C162" s="1" t="s">
        <v>123</v>
      </c>
      <c r="D162">
        <v>3</v>
      </c>
      <c r="E162">
        <v>3</v>
      </c>
      <c r="F162">
        <f>wc_all_matches[[#This Row],[score1]]+wc_all_matches[[#This Row],[score2]]</f>
        <v>6</v>
      </c>
      <c r="G162" s="1" t="s">
        <v>156</v>
      </c>
      <c r="H162" s="1" t="s">
        <v>606</v>
      </c>
      <c r="I162" s="1" t="s">
        <v>607</v>
      </c>
      <c r="J162" s="1" t="s">
        <v>367</v>
      </c>
      <c r="K162" s="2">
        <v>43266</v>
      </c>
      <c r="L162" s="1" t="s">
        <v>608</v>
      </c>
    </row>
    <row r="163" spans="1:12" x14ac:dyDescent="0.25">
      <c r="A163">
        <v>2018</v>
      </c>
      <c r="B163" s="1" t="s">
        <v>210</v>
      </c>
      <c r="C163" s="1" t="s">
        <v>144</v>
      </c>
      <c r="D163">
        <v>1</v>
      </c>
      <c r="E163">
        <v>3</v>
      </c>
      <c r="F163">
        <f>wc_all_matches[[#This Row],[score1]]+wc_all_matches[[#This Row],[score2]]</f>
        <v>4</v>
      </c>
      <c r="G163" s="1" t="s">
        <v>134</v>
      </c>
      <c r="H163" s="1" t="s">
        <v>609</v>
      </c>
      <c r="I163" s="1" t="s">
        <v>610</v>
      </c>
      <c r="J163" s="1" t="s">
        <v>367</v>
      </c>
      <c r="K163" s="2">
        <v>43281</v>
      </c>
      <c r="L163" s="1" t="s">
        <v>611</v>
      </c>
    </row>
    <row r="164" spans="1:12" x14ac:dyDescent="0.25">
      <c r="A164">
        <v>2018</v>
      </c>
      <c r="B164" s="1" t="s">
        <v>210</v>
      </c>
      <c r="C164" s="1" t="s">
        <v>123</v>
      </c>
      <c r="D164">
        <v>1</v>
      </c>
      <c r="E164">
        <v>1</v>
      </c>
      <c r="F164">
        <f>wc_all_matches[[#This Row],[score1]]+wc_all_matches[[#This Row],[score2]]</f>
        <v>2</v>
      </c>
      <c r="G164" s="1" t="s">
        <v>367</v>
      </c>
      <c r="H164" s="1" t="s">
        <v>604</v>
      </c>
      <c r="I164" s="1" t="s">
        <v>369</v>
      </c>
      <c r="J164" s="1" t="s">
        <v>367</v>
      </c>
      <c r="K164" s="2">
        <v>43282</v>
      </c>
      <c r="L164" s="1" t="s">
        <v>612</v>
      </c>
    </row>
    <row r="165" spans="1:12" x14ac:dyDescent="0.25">
      <c r="A165">
        <v>2018</v>
      </c>
      <c r="B165" s="1" t="s">
        <v>210</v>
      </c>
      <c r="C165" s="1" t="s">
        <v>55</v>
      </c>
      <c r="D165">
        <v>2</v>
      </c>
      <c r="E165">
        <v>0</v>
      </c>
      <c r="F165">
        <f>wc_all_matches[[#This Row],[score1]]+wc_all_matches[[#This Row],[score2]]</f>
        <v>2</v>
      </c>
      <c r="G165" s="1" t="s">
        <v>17</v>
      </c>
      <c r="H165" s="1" t="s">
        <v>613</v>
      </c>
      <c r="I165" s="1" t="s">
        <v>614</v>
      </c>
      <c r="J165" s="1" t="s">
        <v>367</v>
      </c>
      <c r="K165" s="2">
        <v>43283</v>
      </c>
      <c r="L165" s="1" t="s">
        <v>615</v>
      </c>
    </row>
    <row r="166" spans="1:12" x14ac:dyDescent="0.25">
      <c r="A166">
        <v>2018</v>
      </c>
      <c r="B166" s="1" t="s">
        <v>227</v>
      </c>
      <c r="C166" s="1" t="s">
        <v>367</v>
      </c>
      <c r="D166">
        <v>2</v>
      </c>
      <c r="E166">
        <v>2</v>
      </c>
      <c r="F166">
        <f>wc_all_matches[[#This Row],[score1]]+wc_all_matches[[#This Row],[score2]]</f>
        <v>4</v>
      </c>
      <c r="G166" s="1" t="s">
        <v>166</v>
      </c>
      <c r="H166" s="1" t="s">
        <v>606</v>
      </c>
      <c r="I166" s="1" t="s">
        <v>607</v>
      </c>
      <c r="J166" s="1" t="s">
        <v>367</v>
      </c>
      <c r="K166" s="2">
        <v>43288</v>
      </c>
      <c r="L166" s="1" t="s">
        <v>616</v>
      </c>
    </row>
    <row r="167" spans="1:12" x14ac:dyDescent="0.25">
      <c r="A167">
        <v>2018</v>
      </c>
      <c r="B167" s="1" t="s">
        <v>227</v>
      </c>
      <c r="C167" s="1" t="s">
        <v>113</v>
      </c>
      <c r="D167">
        <v>2</v>
      </c>
      <c r="E167">
        <v>1</v>
      </c>
      <c r="F167">
        <f>wc_all_matches[[#This Row],[score1]]+wc_all_matches[[#This Row],[score2]]</f>
        <v>3</v>
      </c>
      <c r="G167" s="1" t="s">
        <v>55</v>
      </c>
      <c r="H167" s="1" t="s">
        <v>609</v>
      </c>
      <c r="I167" s="1" t="s">
        <v>610</v>
      </c>
      <c r="J167" s="1" t="s">
        <v>367</v>
      </c>
      <c r="K167" s="2">
        <v>43287</v>
      </c>
      <c r="L167" s="1" t="s">
        <v>617</v>
      </c>
    </row>
    <row r="168" spans="1:12" x14ac:dyDescent="0.25">
      <c r="A168">
        <v>2018</v>
      </c>
      <c r="B168" s="1" t="s">
        <v>236</v>
      </c>
      <c r="C168" s="1" t="s">
        <v>134</v>
      </c>
      <c r="D168">
        <v>1</v>
      </c>
      <c r="E168">
        <v>0</v>
      </c>
      <c r="F168">
        <f>wc_all_matches[[#This Row],[score1]]+wc_all_matches[[#This Row],[score2]]</f>
        <v>1</v>
      </c>
      <c r="G168" s="1" t="s">
        <v>113</v>
      </c>
      <c r="H168" s="1" t="s">
        <v>618</v>
      </c>
      <c r="I168" s="1" t="s">
        <v>619</v>
      </c>
      <c r="J168" s="1" t="s">
        <v>367</v>
      </c>
      <c r="K168" s="2">
        <v>43291</v>
      </c>
      <c r="L168" s="1" t="s">
        <v>620</v>
      </c>
    </row>
    <row r="169" spans="1:12" x14ac:dyDescent="0.25">
      <c r="A169">
        <v>2018</v>
      </c>
      <c r="B169" s="1" t="s">
        <v>236</v>
      </c>
      <c r="C169" s="1" t="s">
        <v>166</v>
      </c>
      <c r="D169">
        <v>2</v>
      </c>
      <c r="E169">
        <v>1</v>
      </c>
      <c r="F169">
        <f>wc_all_matches[[#This Row],[score1]]+wc_all_matches[[#This Row],[score2]]</f>
        <v>3</v>
      </c>
      <c r="G169" s="1" t="s">
        <v>165</v>
      </c>
      <c r="H169" s="1" t="s">
        <v>604</v>
      </c>
      <c r="I169" s="1" t="s">
        <v>369</v>
      </c>
      <c r="J169" s="1" t="s">
        <v>367</v>
      </c>
      <c r="K169" s="2">
        <v>43292</v>
      </c>
      <c r="L169" s="1" t="s">
        <v>621</v>
      </c>
    </row>
    <row r="170" spans="1:12" x14ac:dyDescent="0.25">
      <c r="A170">
        <v>2018</v>
      </c>
      <c r="B170" s="1" t="s">
        <v>242</v>
      </c>
      <c r="C170" s="1" t="s">
        <v>113</v>
      </c>
      <c r="D170">
        <v>2</v>
      </c>
      <c r="E170">
        <v>0</v>
      </c>
      <c r="F170">
        <f>wc_all_matches[[#This Row],[score1]]+wc_all_matches[[#This Row],[score2]]</f>
        <v>2</v>
      </c>
      <c r="G170" s="1" t="s">
        <v>165</v>
      </c>
      <c r="H170" s="1" t="s">
        <v>618</v>
      </c>
      <c r="I170" s="1" t="s">
        <v>619</v>
      </c>
      <c r="J170" s="1" t="s">
        <v>367</v>
      </c>
      <c r="K170" s="2">
        <v>43295</v>
      </c>
      <c r="L170" s="1" t="s">
        <v>173</v>
      </c>
    </row>
    <row r="171" spans="1:12" x14ac:dyDescent="0.25">
      <c r="A171">
        <v>2018</v>
      </c>
      <c r="B171" s="1" t="s">
        <v>243</v>
      </c>
      <c r="C171" s="1" t="s">
        <v>134</v>
      </c>
      <c r="D171">
        <v>4</v>
      </c>
      <c r="E171">
        <v>2</v>
      </c>
      <c r="F171">
        <f>wc_all_matches[[#This Row],[score1]]+wc_all_matches[[#This Row],[score2]]</f>
        <v>6</v>
      </c>
      <c r="G171" s="1" t="s">
        <v>166</v>
      </c>
      <c r="H171" s="1" t="s">
        <v>604</v>
      </c>
      <c r="I171" s="1" t="s">
        <v>369</v>
      </c>
      <c r="J171" s="1" t="s">
        <v>367</v>
      </c>
      <c r="K171" s="2">
        <v>43296</v>
      </c>
      <c r="L171" s="1" t="s">
        <v>622</v>
      </c>
    </row>
    <row r="172" spans="1:12" x14ac:dyDescent="0.25">
      <c r="A172">
        <v>2022</v>
      </c>
      <c r="B172" s="1" t="s">
        <v>16</v>
      </c>
      <c r="C172" s="1" t="s">
        <v>45</v>
      </c>
      <c r="D172">
        <v>0</v>
      </c>
      <c r="E172">
        <v>2</v>
      </c>
      <c r="F172">
        <f>wc_all_matches[[#This Row],[score1]]+wc_all_matches[[#This Row],[score2]]</f>
        <v>2</v>
      </c>
      <c r="G172" s="1" t="s">
        <v>93</v>
      </c>
      <c r="H172" s="1" t="s">
        <v>623</v>
      </c>
      <c r="I172" s="1" t="s">
        <v>624</v>
      </c>
      <c r="J172" s="1" t="s">
        <v>45</v>
      </c>
      <c r="K172" s="2">
        <v>44885</v>
      </c>
      <c r="L172" s="1" t="s">
        <v>625</v>
      </c>
    </row>
    <row r="173" spans="1:12" x14ac:dyDescent="0.25">
      <c r="A173">
        <v>2022</v>
      </c>
      <c r="B173" s="1" t="s">
        <v>16</v>
      </c>
      <c r="C173" s="1" t="s">
        <v>127</v>
      </c>
      <c r="D173">
        <v>2</v>
      </c>
      <c r="E173">
        <v>1</v>
      </c>
      <c r="F173">
        <f>wc_all_matches[[#This Row],[score1]]+wc_all_matches[[#This Row],[score2]]</f>
        <v>3</v>
      </c>
      <c r="G173" s="1" t="s">
        <v>144</v>
      </c>
      <c r="H173" s="1" t="s">
        <v>626</v>
      </c>
      <c r="I173" s="1" t="s">
        <v>371</v>
      </c>
      <c r="J173" s="1" t="s">
        <v>45</v>
      </c>
      <c r="K173" s="2">
        <v>44887</v>
      </c>
      <c r="L173" s="1" t="s">
        <v>627</v>
      </c>
    </row>
    <row r="174" spans="1:12" x14ac:dyDescent="0.25">
      <c r="A174">
        <v>2022</v>
      </c>
      <c r="B174" s="1" t="s">
        <v>16</v>
      </c>
      <c r="C174" s="1" t="s">
        <v>85</v>
      </c>
      <c r="D174">
        <v>1</v>
      </c>
      <c r="E174">
        <v>2</v>
      </c>
      <c r="F174">
        <f>wc_all_matches[[#This Row],[score1]]+wc_all_matches[[#This Row],[score2]]</f>
        <v>3</v>
      </c>
      <c r="G174" s="1" t="s">
        <v>101</v>
      </c>
      <c r="H174" s="1" t="s">
        <v>628</v>
      </c>
      <c r="I174" s="1" t="s">
        <v>629</v>
      </c>
      <c r="J174" s="1" t="s">
        <v>45</v>
      </c>
      <c r="K174" s="2">
        <v>44888</v>
      </c>
      <c r="L174" s="1" t="s">
        <v>173</v>
      </c>
    </row>
    <row r="175" spans="1:12" x14ac:dyDescent="0.25">
      <c r="A175">
        <v>2022</v>
      </c>
      <c r="B175" s="1" t="s">
        <v>16</v>
      </c>
      <c r="C175" s="1" t="s">
        <v>123</v>
      </c>
      <c r="D175">
        <v>1</v>
      </c>
      <c r="E175">
        <v>2</v>
      </c>
      <c r="F175">
        <f>wc_all_matches[[#This Row],[score1]]+wc_all_matches[[#This Row],[score2]]</f>
        <v>3</v>
      </c>
      <c r="G175" s="1" t="s">
        <v>101</v>
      </c>
      <c r="H175" s="1" t="s">
        <v>628</v>
      </c>
      <c r="I175" s="1" t="s">
        <v>629</v>
      </c>
      <c r="J175" s="1" t="s">
        <v>45</v>
      </c>
      <c r="K175" s="2">
        <v>44896</v>
      </c>
      <c r="L175" s="1" t="s">
        <v>173</v>
      </c>
    </row>
    <row r="176" spans="1:12" x14ac:dyDescent="0.25">
      <c r="A176">
        <v>2022</v>
      </c>
      <c r="B176" s="1" t="s">
        <v>16</v>
      </c>
      <c r="C176" s="1" t="s">
        <v>85</v>
      </c>
      <c r="D176">
        <v>4</v>
      </c>
      <c r="E176">
        <v>2</v>
      </c>
      <c r="F176">
        <f>wc_all_matches[[#This Row],[score1]]+wc_all_matches[[#This Row],[score2]]</f>
        <v>6</v>
      </c>
      <c r="G176" s="1" t="s">
        <v>551</v>
      </c>
      <c r="H176" s="1" t="s">
        <v>623</v>
      </c>
      <c r="I176" s="1" t="s">
        <v>624</v>
      </c>
      <c r="J176" s="1" t="s">
        <v>45</v>
      </c>
      <c r="K176" s="2">
        <v>44896</v>
      </c>
      <c r="L176" s="1" t="s">
        <v>630</v>
      </c>
    </row>
    <row r="177" spans="1:12" x14ac:dyDescent="0.25">
      <c r="A177">
        <v>2022</v>
      </c>
      <c r="B177" s="1" t="s">
        <v>210</v>
      </c>
      <c r="C177" s="1" t="s">
        <v>56</v>
      </c>
      <c r="D177">
        <v>0</v>
      </c>
      <c r="E177">
        <v>0</v>
      </c>
      <c r="F177">
        <f>wc_all_matches[[#This Row],[score1]]+wc_all_matches[[#This Row],[score2]]</f>
        <v>0</v>
      </c>
      <c r="G177" s="1" t="s">
        <v>123</v>
      </c>
      <c r="H177" s="1" t="s">
        <v>631</v>
      </c>
      <c r="I177" s="1" t="s">
        <v>629</v>
      </c>
      <c r="J177" s="1" t="s">
        <v>45</v>
      </c>
      <c r="K177" s="2">
        <v>44901</v>
      </c>
      <c r="L177" s="1" t="s">
        <v>632</v>
      </c>
    </row>
    <row r="178" spans="1:12" x14ac:dyDescent="0.25">
      <c r="A178">
        <v>2022</v>
      </c>
      <c r="B178" s="1" t="s">
        <v>210</v>
      </c>
      <c r="C178" s="1" t="s">
        <v>134</v>
      </c>
      <c r="D178">
        <v>3</v>
      </c>
      <c r="E178">
        <v>1</v>
      </c>
      <c r="F178">
        <f>wc_all_matches[[#This Row],[score1]]+wc_all_matches[[#This Row],[score2]]</f>
        <v>4</v>
      </c>
      <c r="G178" s="1" t="s">
        <v>345</v>
      </c>
      <c r="H178" s="1" t="s">
        <v>633</v>
      </c>
      <c r="I178" s="1" t="s">
        <v>634</v>
      </c>
      <c r="J178" s="1" t="s">
        <v>45</v>
      </c>
      <c r="K178" s="2">
        <v>44899</v>
      </c>
      <c r="L178" s="1" t="s">
        <v>635</v>
      </c>
    </row>
    <row r="179" spans="1:12" x14ac:dyDescent="0.25">
      <c r="A179">
        <v>2022</v>
      </c>
      <c r="B179" s="1" t="s">
        <v>210</v>
      </c>
      <c r="C179" s="1" t="s">
        <v>100</v>
      </c>
      <c r="D179">
        <v>3</v>
      </c>
      <c r="E179">
        <v>1</v>
      </c>
      <c r="F179">
        <f>wc_all_matches[[#This Row],[score1]]+wc_all_matches[[#This Row],[score2]]</f>
        <v>4</v>
      </c>
      <c r="G179" s="1" t="s">
        <v>49</v>
      </c>
      <c r="H179" s="1" t="s">
        <v>628</v>
      </c>
      <c r="I179" s="1" t="s">
        <v>629</v>
      </c>
      <c r="J179" s="1" t="s">
        <v>45</v>
      </c>
      <c r="K179" s="2">
        <v>44898</v>
      </c>
      <c r="L179" s="1" t="s">
        <v>173</v>
      </c>
    </row>
    <row r="180" spans="1:12" x14ac:dyDescent="0.25">
      <c r="A180">
        <v>2022</v>
      </c>
      <c r="B180" s="1" t="s">
        <v>227</v>
      </c>
      <c r="C180" s="1" t="s">
        <v>56</v>
      </c>
      <c r="D180">
        <v>1</v>
      </c>
      <c r="E180">
        <v>0</v>
      </c>
      <c r="F180">
        <f>wc_all_matches[[#This Row],[score1]]+wc_all_matches[[#This Row],[score2]]</f>
        <v>1</v>
      </c>
      <c r="G180" s="1" t="s">
        <v>156</v>
      </c>
      <c r="H180" s="1" t="s">
        <v>633</v>
      </c>
      <c r="I180" s="1" t="s">
        <v>634</v>
      </c>
      <c r="J180" s="1" t="s">
        <v>45</v>
      </c>
      <c r="K180" s="2">
        <v>44905</v>
      </c>
      <c r="L180" s="1" t="s">
        <v>636</v>
      </c>
    </row>
    <row r="181" spans="1:12" x14ac:dyDescent="0.25">
      <c r="A181">
        <v>2022</v>
      </c>
      <c r="B181" s="1" t="s">
        <v>227</v>
      </c>
      <c r="C181" s="1" t="s">
        <v>134</v>
      </c>
      <c r="D181">
        <v>2</v>
      </c>
      <c r="E181">
        <v>1</v>
      </c>
      <c r="F181">
        <f>wc_all_matches[[#This Row],[score1]]+wc_all_matches[[#This Row],[score2]]</f>
        <v>3</v>
      </c>
      <c r="G181" s="1" t="s">
        <v>165</v>
      </c>
      <c r="H181" s="1" t="s">
        <v>623</v>
      </c>
      <c r="I181" s="1" t="s">
        <v>624</v>
      </c>
      <c r="J181" s="1" t="s">
        <v>45</v>
      </c>
      <c r="K181" s="2">
        <v>44905</v>
      </c>
      <c r="L181" s="1" t="s">
        <v>637</v>
      </c>
    </row>
    <row r="182" spans="1:12" x14ac:dyDescent="0.25">
      <c r="A182">
        <v>2022</v>
      </c>
      <c r="B182" s="1" t="s">
        <v>236</v>
      </c>
      <c r="C182" s="1" t="s">
        <v>144</v>
      </c>
      <c r="D182">
        <v>3</v>
      </c>
      <c r="E182">
        <v>0</v>
      </c>
      <c r="F182">
        <f>wc_all_matches[[#This Row],[score1]]+wc_all_matches[[#This Row],[score2]]</f>
        <v>3</v>
      </c>
      <c r="G182" s="1" t="s">
        <v>166</v>
      </c>
      <c r="H182" s="1" t="s">
        <v>626</v>
      </c>
      <c r="I182" s="1" t="s">
        <v>371</v>
      </c>
      <c r="J182" s="1" t="s">
        <v>45</v>
      </c>
      <c r="K182" s="2">
        <v>44908</v>
      </c>
      <c r="L182" s="1" t="s">
        <v>638</v>
      </c>
    </row>
    <row r="183" spans="1:12" x14ac:dyDescent="0.25">
      <c r="A183">
        <v>2022</v>
      </c>
      <c r="B183" s="1" t="s">
        <v>236</v>
      </c>
      <c r="C183" s="1" t="s">
        <v>134</v>
      </c>
      <c r="D183">
        <v>2</v>
      </c>
      <c r="E183">
        <v>0</v>
      </c>
      <c r="F183">
        <f>wc_all_matches[[#This Row],[score1]]+wc_all_matches[[#This Row],[score2]]</f>
        <v>2</v>
      </c>
      <c r="G183" s="1" t="s">
        <v>56</v>
      </c>
      <c r="H183" s="1" t="s">
        <v>623</v>
      </c>
      <c r="I183" s="1" t="s">
        <v>624</v>
      </c>
      <c r="J183" s="1" t="s">
        <v>45</v>
      </c>
      <c r="K183" s="2">
        <v>44909</v>
      </c>
      <c r="L183" s="1" t="s">
        <v>173</v>
      </c>
    </row>
    <row r="184" spans="1:12" x14ac:dyDescent="0.25">
      <c r="A184">
        <v>2022</v>
      </c>
      <c r="B184" s="1" t="s">
        <v>242</v>
      </c>
      <c r="C184" s="1" t="s">
        <v>166</v>
      </c>
      <c r="D184">
        <v>2</v>
      </c>
      <c r="E184">
        <v>1</v>
      </c>
      <c r="F184">
        <f>wc_all_matches[[#This Row],[score1]]+wc_all_matches[[#This Row],[score2]]</f>
        <v>3</v>
      </c>
      <c r="G184" s="1" t="s">
        <v>56</v>
      </c>
      <c r="H184" s="1" t="s">
        <v>628</v>
      </c>
      <c r="I184" s="1" t="s">
        <v>629</v>
      </c>
      <c r="J184" s="1" t="s">
        <v>45</v>
      </c>
      <c r="K184" s="2">
        <v>44912</v>
      </c>
      <c r="L184" s="1" t="s">
        <v>173</v>
      </c>
    </row>
    <row r="185" spans="1:12" x14ac:dyDescent="0.25">
      <c r="A185">
        <v>2022</v>
      </c>
      <c r="B185" s="1" t="s">
        <v>243</v>
      </c>
      <c r="C185" s="1" t="s">
        <v>144</v>
      </c>
      <c r="D185">
        <v>3</v>
      </c>
      <c r="E185">
        <v>3</v>
      </c>
      <c r="F185">
        <f>wc_all_matches[[#This Row],[score1]]+wc_all_matches[[#This Row],[score2]]</f>
        <v>6</v>
      </c>
      <c r="G185" s="1" t="s">
        <v>134</v>
      </c>
      <c r="H185" s="1" t="s">
        <v>626</v>
      </c>
      <c r="I185" s="1" t="s">
        <v>371</v>
      </c>
      <c r="J185" s="1" t="s">
        <v>45</v>
      </c>
      <c r="K185" s="2">
        <v>44913</v>
      </c>
      <c r="L185" s="1" t="s">
        <v>639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9D45-934E-458B-84B6-5141F9ECDE71}">
  <dimension ref="A3:B26"/>
  <sheetViews>
    <sheetView tabSelected="1" workbookViewId="0">
      <selection activeCell="I18" sqref="I18"/>
    </sheetView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3" t="s">
        <v>657</v>
      </c>
      <c r="B3" t="s">
        <v>661</v>
      </c>
    </row>
    <row r="4" spans="1:2" x14ac:dyDescent="0.25">
      <c r="A4" s="4">
        <v>1930</v>
      </c>
      <c r="B4" s="1">
        <v>8</v>
      </c>
    </row>
    <row r="5" spans="1:2" x14ac:dyDescent="0.25">
      <c r="A5" s="4">
        <v>1934</v>
      </c>
      <c r="B5" s="1">
        <v>5</v>
      </c>
    </row>
    <row r="6" spans="1:2" x14ac:dyDescent="0.25">
      <c r="A6" s="4">
        <v>1938</v>
      </c>
      <c r="B6" s="1">
        <v>7</v>
      </c>
    </row>
    <row r="7" spans="1:2" x14ac:dyDescent="0.25">
      <c r="A7" s="4">
        <v>1950</v>
      </c>
      <c r="B7" s="1">
        <v>8</v>
      </c>
    </row>
    <row r="8" spans="1:2" x14ac:dyDescent="0.25">
      <c r="A8" s="4">
        <v>1954</v>
      </c>
      <c r="B8" s="1">
        <v>11</v>
      </c>
    </row>
    <row r="9" spans="1:2" x14ac:dyDescent="0.25">
      <c r="A9" s="4">
        <v>1958</v>
      </c>
      <c r="B9" s="1">
        <v>13</v>
      </c>
    </row>
    <row r="10" spans="1:2" x14ac:dyDescent="0.25">
      <c r="A10" s="4">
        <v>1962</v>
      </c>
      <c r="B10" s="1">
        <v>4</v>
      </c>
    </row>
    <row r="11" spans="1:2" x14ac:dyDescent="0.25">
      <c r="A11" s="4">
        <v>1966</v>
      </c>
      <c r="B11" s="1">
        <v>9</v>
      </c>
    </row>
    <row r="12" spans="1:2" x14ac:dyDescent="0.25">
      <c r="A12" s="4">
        <v>1970</v>
      </c>
      <c r="B12" s="1">
        <v>10</v>
      </c>
    </row>
    <row r="13" spans="1:2" x14ac:dyDescent="0.25">
      <c r="A13" s="4">
        <v>1974</v>
      </c>
      <c r="B13" s="1">
        <v>7</v>
      </c>
    </row>
    <row r="14" spans="1:2" x14ac:dyDescent="0.25">
      <c r="A14" s="4">
        <v>1978</v>
      </c>
      <c r="B14" s="1">
        <v>6</v>
      </c>
    </row>
    <row r="15" spans="1:2" x14ac:dyDescent="0.25">
      <c r="A15" s="4">
        <v>1982</v>
      </c>
      <c r="B15" s="1">
        <v>6</v>
      </c>
    </row>
    <row r="16" spans="1:2" x14ac:dyDescent="0.25">
      <c r="A16" s="4">
        <v>1986</v>
      </c>
      <c r="B16" s="1">
        <v>6</v>
      </c>
    </row>
    <row r="17" spans="1:2" x14ac:dyDescent="0.25">
      <c r="A17" s="4">
        <v>1990</v>
      </c>
      <c r="B17" s="1">
        <v>6</v>
      </c>
    </row>
    <row r="18" spans="1:2" x14ac:dyDescent="0.25">
      <c r="A18" s="4">
        <v>1994</v>
      </c>
      <c r="B18" s="1">
        <v>6</v>
      </c>
    </row>
    <row r="19" spans="1:2" x14ac:dyDescent="0.25">
      <c r="A19" s="4">
        <v>1998</v>
      </c>
      <c r="B19" s="1">
        <v>6</v>
      </c>
    </row>
    <row r="20" spans="1:2" x14ac:dyDescent="0.25">
      <c r="A20" s="4">
        <v>2002</v>
      </c>
      <c r="B20" s="1">
        <v>8</v>
      </c>
    </row>
    <row r="21" spans="1:2" x14ac:dyDescent="0.25">
      <c r="A21" s="4">
        <v>2006</v>
      </c>
      <c r="B21" s="1">
        <v>5</v>
      </c>
    </row>
    <row r="22" spans="1:2" x14ac:dyDescent="0.25">
      <c r="A22" s="4">
        <v>2010</v>
      </c>
      <c r="B22" s="1">
        <v>5</v>
      </c>
    </row>
    <row r="23" spans="1:2" x14ac:dyDescent="0.25">
      <c r="A23" s="4">
        <v>2014</v>
      </c>
      <c r="B23" s="1">
        <v>6</v>
      </c>
    </row>
    <row r="24" spans="1:2" x14ac:dyDescent="0.25">
      <c r="A24" s="4">
        <v>2018</v>
      </c>
      <c r="B24" s="1">
        <v>6</v>
      </c>
    </row>
    <row r="25" spans="1:2" x14ac:dyDescent="0.25">
      <c r="A25" s="4">
        <v>2022</v>
      </c>
      <c r="B25" s="1">
        <v>8</v>
      </c>
    </row>
    <row r="26" spans="1:2" x14ac:dyDescent="0.25">
      <c r="A26" s="4" t="s">
        <v>658</v>
      </c>
      <c r="B26" s="1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66D6-972E-44CA-AD66-5F07D24EC6C5}">
  <dimension ref="A1:K23"/>
  <sheetViews>
    <sheetView workbookViewId="0">
      <selection activeCell="D10" sqref="D10"/>
    </sheetView>
  </sheetViews>
  <sheetFormatPr defaultRowHeight="15" x14ac:dyDescent="0.25"/>
  <cols>
    <col min="1" max="1" width="9.7109375" bestFit="1" customWidth="1"/>
    <col min="2" max="2" width="7.140625" bestFit="1" customWidth="1"/>
    <col min="3" max="3" width="17.42578125" bestFit="1" customWidth="1"/>
    <col min="4" max="4" width="14.85546875" bestFit="1" customWidth="1"/>
    <col min="5" max="5" width="10.7109375" bestFit="1" customWidth="1"/>
    <col min="6" max="6" width="8" bestFit="1" customWidth="1"/>
    <col min="7" max="7" width="9.5703125" bestFit="1" customWidth="1"/>
    <col min="8" max="8" width="11.7109375" bestFit="1" customWidth="1"/>
    <col min="9" max="9" width="18" bestFit="1" customWidth="1"/>
    <col min="10" max="10" width="17.85546875" bestFit="1" customWidth="1"/>
    <col min="11" max="11" width="14" bestFit="1" customWidth="1"/>
  </cols>
  <sheetData>
    <row r="1" spans="1:11" x14ac:dyDescent="0.25">
      <c r="A1" t="s">
        <v>296</v>
      </c>
      <c r="B1" t="s">
        <v>297</v>
      </c>
      <c r="C1" t="s">
        <v>640</v>
      </c>
      <c r="D1" t="s">
        <v>6</v>
      </c>
      <c r="E1" t="s">
        <v>641</v>
      </c>
      <c r="F1" t="s">
        <v>305</v>
      </c>
      <c r="G1" t="s">
        <v>642</v>
      </c>
      <c r="H1" t="s">
        <v>643</v>
      </c>
      <c r="I1" t="s">
        <v>644</v>
      </c>
      <c r="J1" t="s">
        <v>298</v>
      </c>
      <c r="K1" t="s">
        <v>645</v>
      </c>
    </row>
    <row r="2" spans="1:11" x14ac:dyDescent="0.25">
      <c r="A2">
        <v>1</v>
      </c>
      <c r="B2">
        <v>1930</v>
      </c>
      <c r="C2" s="1" t="s">
        <v>318</v>
      </c>
      <c r="D2" s="1" t="s">
        <v>144</v>
      </c>
      <c r="E2" s="1" t="s">
        <v>646</v>
      </c>
      <c r="F2">
        <v>8</v>
      </c>
      <c r="G2">
        <v>0</v>
      </c>
      <c r="H2">
        <v>0</v>
      </c>
      <c r="I2">
        <v>4</v>
      </c>
      <c r="J2" s="1" t="s">
        <v>128</v>
      </c>
      <c r="K2" s="1" t="s">
        <v>647</v>
      </c>
    </row>
    <row r="3" spans="1:11" x14ac:dyDescent="0.25">
      <c r="A3">
        <v>2</v>
      </c>
      <c r="B3">
        <v>1934</v>
      </c>
      <c r="C3" s="1" t="s">
        <v>323</v>
      </c>
      <c r="D3" s="1" t="s">
        <v>322</v>
      </c>
      <c r="E3" s="1" t="s">
        <v>646</v>
      </c>
      <c r="F3">
        <v>5</v>
      </c>
      <c r="G3">
        <v>0</v>
      </c>
      <c r="H3">
        <v>0</v>
      </c>
      <c r="I3">
        <v>4</v>
      </c>
      <c r="J3" s="1" t="s">
        <v>321</v>
      </c>
      <c r="K3" s="1" t="s">
        <v>236</v>
      </c>
    </row>
    <row r="4" spans="1:11" x14ac:dyDescent="0.25">
      <c r="A4">
        <v>3</v>
      </c>
      <c r="B4">
        <v>1938</v>
      </c>
      <c r="C4" s="1" t="s">
        <v>327</v>
      </c>
      <c r="D4" s="1" t="s">
        <v>55</v>
      </c>
      <c r="E4" s="1" t="s">
        <v>646</v>
      </c>
      <c r="F4">
        <v>7</v>
      </c>
      <c r="G4">
        <v>0</v>
      </c>
      <c r="H4">
        <v>0</v>
      </c>
      <c r="I4">
        <v>5</v>
      </c>
      <c r="J4" s="1" t="s">
        <v>134</v>
      </c>
      <c r="K4" s="1" t="s">
        <v>648</v>
      </c>
    </row>
    <row r="5" spans="1:11" x14ac:dyDescent="0.25">
      <c r="A5">
        <v>4</v>
      </c>
      <c r="B5">
        <v>1950</v>
      </c>
      <c r="C5" s="1" t="s">
        <v>329</v>
      </c>
      <c r="D5" s="1" t="s">
        <v>55</v>
      </c>
      <c r="E5" s="1" t="s">
        <v>646</v>
      </c>
      <c r="F5">
        <v>8</v>
      </c>
      <c r="G5">
        <v>0</v>
      </c>
      <c r="H5">
        <v>0</v>
      </c>
      <c r="I5">
        <v>6</v>
      </c>
      <c r="J5" s="1" t="s">
        <v>55</v>
      </c>
      <c r="K5" s="1" t="s">
        <v>649</v>
      </c>
    </row>
    <row r="6" spans="1:11" x14ac:dyDescent="0.25">
      <c r="A6">
        <v>5</v>
      </c>
      <c r="B6">
        <v>1954</v>
      </c>
      <c r="C6" s="1" t="s">
        <v>333</v>
      </c>
      <c r="D6" s="1" t="s">
        <v>326</v>
      </c>
      <c r="E6" s="1" t="s">
        <v>646</v>
      </c>
      <c r="F6">
        <v>11</v>
      </c>
      <c r="G6">
        <v>0</v>
      </c>
      <c r="H6">
        <v>0</v>
      </c>
      <c r="I6">
        <v>5</v>
      </c>
      <c r="J6" s="1" t="s">
        <v>46</v>
      </c>
      <c r="K6" s="1" t="s">
        <v>649</v>
      </c>
    </row>
    <row r="7" spans="1:11" x14ac:dyDescent="0.25">
      <c r="A7">
        <v>6</v>
      </c>
      <c r="B7">
        <v>1958</v>
      </c>
      <c r="C7" s="1" t="s">
        <v>335</v>
      </c>
      <c r="D7" s="1" t="s">
        <v>134</v>
      </c>
      <c r="E7" s="1" t="s">
        <v>646</v>
      </c>
      <c r="F7">
        <v>13</v>
      </c>
      <c r="G7">
        <v>0</v>
      </c>
      <c r="H7">
        <v>0</v>
      </c>
      <c r="I7">
        <v>6</v>
      </c>
      <c r="J7" s="1" t="s">
        <v>105</v>
      </c>
      <c r="K7" s="1" t="s">
        <v>648</v>
      </c>
    </row>
    <row r="8" spans="1:11" x14ac:dyDescent="0.25">
      <c r="A8">
        <v>7</v>
      </c>
      <c r="B8">
        <v>1962</v>
      </c>
      <c r="C8" s="1" t="s">
        <v>650</v>
      </c>
      <c r="D8" s="1" t="s">
        <v>339</v>
      </c>
      <c r="E8" s="1" t="s">
        <v>646</v>
      </c>
      <c r="F8">
        <v>4</v>
      </c>
      <c r="G8">
        <v>0</v>
      </c>
      <c r="H8">
        <v>0</v>
      </c>
      <c r="I8">
        <v>6</v>
      </c>
      <c r="J8" s="1" t="s">
        <v>337</v>
      </c>
      <c r="K8" s="1" t="s">
        <v>651</v>
      </c>
    </row>
    <row r="9" spans="1:11" x14ac:dyDescent="0.25">
      <c r="A9">
        <v>8</v>
      </c>
      <c r="B9">
        <v>1966</v>
      </c>
      <c r="C9" s="1" t="s">
        <v>342</v>
      </c>
      <c r="D9" s="1" t="s">
        <v>156</v>
      </c>
      <c r="E9" s="1" t="s">
        <v>646</v>
      </c>
      <c r="F9">
        <v>9</v>
      </c>
      <c r="G9">
        <v>0</v>
      </c>
      <c r="H9">
        <v>0</v>
      </c>
      <c r="I9">
        <v>6</v>
      </c>
      <c r="J9" s="1" t="s">
        <v>165</v>
      </c>
      <c r="K9" s="1" t="s">
        <v>648</v>
      </c>
    </row>
    <row r="10" spans="1:11" x14ac:dyDescent="0.25">
      <c r="A10">
        <v>9</v>
      </c>
      <c r="B10">
        <v>1970</v>
      </c>
      <c r="C10" s="1" t="s">
        <v>344</v>
      </c>
      <c r="D10" s="1" t="s">
        <v>332</v>
      </c>
      <c r="E10" s="1" t="s">
        <v>646</v>
      </c>
      <c r="F10">
        <v>10</v>
      </c>
      <c r="G10">
        <v>0</v>
      </c>
      <c r="H10">
        <v>0</v>
      </c>
      <c r="I10">
        <v>6</v>
      </c>
      <c r="J10" s="1" t="s">
        <v>17</v>
      </c>
      <c r="K10" s="1" t="s">
        <v>648</v>
      </c>
    </row>
    <row r="11" spans="1:11" x14ac:dyDescent="0.25">
      <c r="A11">
        <v>10</v>
      </c>
      <c r="B11">
        <v>1974</v>
      </c>
      <c r="C11" s="1" t="s">
        <v>346</v>
      </c>
      <c r="D11" s="1" t="s">
        <v>345</v>
      </c>
      <c r="E11" s="1" t="s">
        <v>646</v>
      </c>
      <c r="F11">
        <v>7</v>
      </c>
      <c r="G11">
        <v>0</v>
      </c>
      <c r="H11">
        <v>0</v>
      </c>
      <c r="I11">
        <v>7</v>
      </c>
      <c r="J11" s="1" t="s">
        <v>332</v>
      </c>
      <c r="K11" s="1" t="s">
        <v>648</v>
      </c>
    </row>
    <row r="12" spans="1:11" x14ac:dyDescent="0.25">
      <c r="A12">
        <v>11</v>
      </c>
      <c r="B12">
        <v>1978</v>
      </c>
      <c r="C12" s="1" t="s">
        <v>348</v>
      </c>
      <c r="D12" s="1" t="s">
        <v>144</v>
      </c>
      <c r="E12" s="1" t="s">
        <v>646</v>
      </c>
      <c r="F12">
        <v>6</v>
      </c>
      <c r="G12">
        <v>0</v>
      </c>
      <c r="H12">
        <v>0</v>
      </c>
      <c r="I12">
        <v>7</v>
      </c>
      <c r="J12" s="1" t="s">
        <v>144</v>
      </c>
      <c r="K12" s="1" t="s">
        <v>647</v>
      </c>
    </row>
    <row r="13" spans="1:11" x14ac:dyDescent="0.25">
      <c r="A13">
        <v>12</v>
      </c>
      <c r="B13">
        <v>1982</v>
      </c>
      <c r="C13" s="1" t="s">
        <v>350</v>
      </c>
      <c r="D13" s="1" t="s">
        <v>321</v>
      </c>
      <c r="E13" s="1" t="s">
        <v>646</v>
      </c>
      <c r="F13">
        <v>6</v>
      </c>
      <c r="G13">
        <v>0</v>
      </c>
      <c r="H13">
        <v>0</v>
      </c>
      <c r="I13">
        <v>7</v>
      </c>
      <c r="J13" s="1" t="s">
        <v>123</v>
      </c>
      <c r="K13" s="1" t="s">
        <v>647</v>
      </c>
    </row>
    <row r="14" spans="1:11" x14ac:dyDescent="0.25">
      <c r="A14">
        <v>13</v>
      </c>
      <c r="B14">
        <v>1986</v>
      </c>
      <c r="C14" s="1" t="s">
        <v>352</v>
      </c>
      <c r="D14" s="1" t="s">
        <v>165</v>
      </c>
      <c r="E14" s="1" t="s">
        <v>646</v>
      </c>
      <c r="F14">
        <v>6</v>
      </c>
      <c r="G14">
        <v>0</v>
      </c>
      <c r="H14">
        <v>0</v>
      </c>
      <c r="I14">
        <v>5</v>
      </c>
      <c r="J14" s="1" t="s">
        <v>17</v>
      </c>
      <c r="K14" s="1" t="s">
        <v>227</v>
      </c>
    </row>
    <row r="15" spans="1:11" x14ac:dyDescent="0.25">
      <c r="A15">
        <v>14</v>
      </c>
      <c r="B15">
        <v>1990</v>
      </c>
      <c r="C15" s="1" t="s">
        <v>353</v>
      </c>
      <c r="D15" s="1" t="s">
        <v>321</v>
      </c>
      <c r="E15" s="1" t="s">
        <v>646</v>
      </c>
      <c r="F15">
        <v>6</v>
      </c>
      <c r="G15">
        <v>0</v>
      </c>
      <c r="H15">
        <v>0</v>
      </c>
      <c r="I15">
        <v>7</v>
      </c>
      <c r="J15" s="1" t="s">
        <v>321</v>
      </c>
      <c r="K15" s="1" t="s">
        <v>648</v>
      </c>
    </row>
    <row r="16" spans="1:11" x14ac:dyDescent="0.25">
      <c r="A16">
        <v>15</v>
      </c>
      <c r="B16">
        <v>1994</v>
      </c>
      <c r="C16" s="1" t="s">
        <v>652</v>
      </c>
      <c r="D16" s="1" t="s">
        <v>354</v>
      </c>
      <c r="E16" s="1" t="s">
        <v>646</v>
      </c>
      <c r="F16">
        <v>6</v>
      </c>
      <c r="G16">
        <v>0</v>
      </c>
      <c r="H16">
        <v>0</v>
      </c>
      <c r="I16">
        <v>6</v>
      </c>
      <c r="J16" s="1" t="s">
        <v>316</v>
      </c>
      <c r="K16" s="1" t="s">
        <v>236</v>
      </c>
    </row>
    <row r="17" spans="1:11" x14ac:dyDescent="0.25">
      <c r="A17">
        <v>16</v>
      </c>
      <c r="B17">
        <v>1998</v>
      </c>
      <c r="C17" s="1" t="s">
        <v>357</v>
      </c>
      <c r="D17" s="1" t="s">
        <v>166</v>
      </c>
      <c r="E17" s="1" t="s">
        <v>646</v>
      </c>
      <c r="F17">
        <v>6</v>
      </c>
      <c r="G17">
        <v>0</v>
      </c>
      <c r="H17">
        <v>0</v>
      </c>
      <c r="I17">
        <v>6</v>
      </c>
      <c r="J17" s="1" t="s">
        <v>134</v>
      </c>
      <c r="K17" s="1" t="s">
        <v>648</v>
      </c>
    </row>
    <row r="18" spans="1:11" x14ac:dyDescent="0.25">
      <c r="A18">
        <v>17</v>
      </c>
      <c r="B18">
        <v>2002</v>
      </c>
      <c r="C18" s="1" t="s">
        <v>360</v>
      </c>
      <c r="D18" s="1" t="s">
        <v>55</v>
      </c>
      <c r="E18" s="1" t="s">
        <v>646</v>
      </c>
      <c r="F18">
        <v>8</v>
      </c>
      <c r="G18">
        <v>0</v>
      </c>
      <c r="H18">
        <v>0</v>
      </c>
      <c r="I18">
        <v>7</v>
      </c>
      <c r="J18" s="1" t="s">
        <v>653</v>
      </c>
      <c r="K18" s="1" t="s">
        <v>647</v>
      </c>
    </row>
    <row r="19" spans="1:11" x14ac:dyDescent="0.25">
      <c r="A19">
        <v>18</v>
      </c>
      <c r="B19">
        <v>2006</v>
      </c>
      <c r="C19" s="1" t="s">
        <v>362</v>
      </c>
      <c r="D19" s="1" t="s">
        <v>85</v>
      </c>
      <c r="E19" s="1" t="s">
        <v>646</v>
      </c>
      <c r="F19">
        <v>5</v>
      </c>
      <c r="G19">
        <v>0</v>
      </c>
      <c r="H19">
        <v>0</v>
      </c>
      <c r="I19">
        <v>7</v>
      </c>
      <c r="J19" s="1" t="s">
        <v>85</v>
      </c>
      <c r="K19" s="1" t="s">
        <v>648</v>
      </c>
    </row>
    <row r="20" spans="1:11" x14ac:dyDescent="0.25">
      <c r="A20">
        <v>19</v>
      </c>
      <c r="B20">
        <v>2010</v>
      </c>
      <c r="C20" s="1" t="s">
        <v>654</v>
      </c>
      <c r="D20" s="1" t="s">
        <v>85</v>
      </c>
      <c r="E20" s="1" t="s">
        <v>646</v>
      </c>
      <c r="F20">
        <v>5</v>
      </c>
      <c r="G20">
        <v>3</v>
      </c>
      <c r="H20">
        <v>0</v>
      </c>
      <c r="I20">
        <v>6</v>
      </c>
      <c r="J20" s="1" t="s">
        <v>18</v>
      </c>
      <c r="K20" s="1" t="s">
        <v>648</v>
      </c>
    </row>
    <row r="21" spans="1:11" x14ac:dyDescent="0.25">
      <c r="A21">
        <v>20</v>
      </c>
      <c r="B21">
        <v>2014</v>
      </c>
      <c r="C21" s="1" t="s">
        <v>366</v>
      </c>
      <c r="D21" s="1" t="s">
        <v>161</v>
      </c>
      <c r="E21" s="1" t="s">
        <v>646</v>
      </c>
      <c r="F21">
        <v>6</v>
      </c>
      <c r="G21">
        <v>2</v>
      </c>
      <c r="H21">
        <v>0</v>
      </c>
      <c r="I21">
        <v>5</v>
      </c>
      <c r="J21" s="1" t="s">
        <v>55</v>
      </c>
      <c r="K21" s="1" t="s">
        <v>227</v>
      </c>
    </row>
    <row r="22" spans="1:11" x14ac:dyDescent="0.25">
      <c r="A22">
        <v>21</v>
      </c>
      <c r="B22">
        <v>2018</v>
      </c>
      <c r="C22" s="1" t="s">
        <v>368</v>
      </c>
      <c r="D22" s="1" t="s">
        <v>165</v>
      </c>
      <c r="E22" s="1" t="s">
        <v>646</v>
      </c>
      <c r="F22">
        <v>6</v>
      </c>
      <c r="G22">
        <v>0</v>
      </c>
      <c r="H22">
        <v>0</v>
      </c>
      <c r="I22">
        <v>6</v>
      </c>
      <c r="J22" s="1" t="s">
        <v>367</v>
      </c>
      <c r="K22" s="1" t="s">
        <v>655</v>
      </c>
    </row>
    <row r="23" spans="1:11" x14ac:dyDescent="0.25">
      <c r="A23">
        <v>22</v>
      </c>
      <c r="B23">
        <v>2022</v>
      </c>
      <c r="C23" s="1" t="s">
        <v>370</v>
      </c>
      <c r="D23" s="1" t="s">
        <v>134</v>
      </c>
      <c r="E23" s="1" t="s">
        <v>646</v>
      </c>
      <c r="F23">
        <v>8</v>
      </c>
      <c r="G23">
        <v>2</v>
      </c>
      <c r="H23">
        <v>0</v>
      </c>
      <c r="I23">
        <v>7</v>
      </c>
      <c r="J23" s="1" t="s">
        <v>45</v>
      </c>
      <c r="K23" s="1" t="s">
        <v>649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46FD4-35DF-43E9-AE70-DFC03D5F2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wc_2026_fixtures</vt:lpstr>
      <vt:lpstr>wc_2026_teams</vt:lpstr>
      <vt:lpstr>wc_all_editions</vt:lpstr>
      <vt:lpstr>Pivot- Total Goals and matches</vt:lpstr>
      <vt:lpstr>wc_all_matches</vt:lpstr>
      <vt:lpstr>Pivot - Top scorer goals</vt:lpstr>
      <vt:lpstr>wc_top_scorers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Thyssen</dc:creator>
  <cp:lastModifiedBy>Mathias Thyssen</cp:lastModifiedBy>
  <dcterms:created xsi:type="dcterms:W3CDTF">2026-06-25T16:45:29Z</dcterms:created>
  <dcterms:modified xsi:type="dcterms:W3CDTF">2026-06-25T18:33:36Z</dcterms:modified>
</cp:coreProperties>
</file>